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11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may_2018_benchmarks" sheetId="1" state="visible" r:id="rId2"/>
    <sheet name="old_dijkstra_result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<sst xmlns="http://schemas.openxmlformats.org/spreadsheetml/2006/main" count="217" uniqueCount="126">
  <si>
    <t xml:space="preserve">WHEN MACS ARE USED, 
ONLY THE EXTRA TIME IS SHOWN</t>
  </si>
  <si>
    <t xml:space="preserve">NORMAL EXECUTION</t>
  </si>
  <si>
    <t xml:space="preserve">NO MACS (0 bytes for them)</t>
  </si>
  <si>
    <t xml:space="preserve">IGNORING MACS</t>
  </si>
  <si>
    <t xml:space="preserve">INCLUDING MACS CACHE 
50(code)-50(data) (2 way set assoc)</t>
  </si>
  <si>
    <t xml:space="preserve">INCLUDING MACS CACHE 
100(code)-100(data) (2 way set assoc)</t>
  </si>
  <si>
    <t xml:space="preserve">INCLUDING MACS CACHE 
150(code)-150(data) (2 way set assoc)</t>
  </si>
  <si>
    <t xml:space="preserve">INCLUDING MACS CACHE 
200(code)-200(data) (2 way set assoc)</t>
  </si>
  <si>
    <t xml:space="preserve">INCLUDING MACS CACHE 
250(code)-250(data) (2 way set assoc)</t>
  </si>
  <si>
    <t xml:space="preserve">INCLUDING MACS CACHE 
300(code)-300(data) (2 way set assoc)</t>
  </si>
  <si>
    <t xml:space="preserve">INCLUDING MACS CACHE 
350(code)-350(data) (2 way set assoc)</t>
  </si>
  <si>
    <t xml:space="preserve">INCLUDING MACS CACHE 
400(code)-400(data) (2 way set assoc)</t>
  </si>
  <si>
    <t xml:space="preserve">THE MAC TIMES ARE CALCULATED
EXTERNALLY AND MULTIPLIED BY
 THE NUMBER 
OF THE MAC INVOCATIONS</t>
  </si>
  <si>
    <t xml:space="preserve">everything is executed normally</t>
  </si>
  <si>
    <t xml:space="preserve">only useful bytes and keys are present</t>
  </si>
  <si>
    <t xml:space="preserve">we put the mac bytes there
but we do nothing about them</t>
  </si>
  <si>
    <t xml:space="preserve">we do everything but we use cache in code and in data
in order not to compute recent macs again
</t>
  </si>
  <si>
    <t xml:space="preserve">Primes 150k 16b</t>
  </si>
  <si>
    <t xml:space="preserve">Primes 150k 32b</t>
  </si>
  <si>
    <t xml:space="preserve">Primes 150k 48b</t>
  </si>
  <si>
    <t xml:space="preserve">Primes 150k 64b</t>
  </si>
  <si>
    <t xml:space="preserve">Dijkstra_1400_16b_no_sc</t>
  </si>
  <si>
    <t xml:space="preserve">Dijkstra_1400_32b_no_sc</t>
  </si>
  <si>
    <t xml:space="preserve">Dijkstra_1400_48b_no_sc</t>
  </si>
  <si>
    <t xml:space="preserve">Dijkstra_1400_64b_no_sc</t>
  </si>
  <si>
    <t xml:space="preserve">Dijkstra_1400_16b_sc_3</t>
  </si>
  <si>
    <t xml:space="preserve">Dijkstra_1400_32b_sc_3</t>
  </si>
  <si>
    <t xml:space="preserve">Dijkstra_1400_48b_sc_3</t>
  </si>
  <si>
    <t xml:space="preserve">Dijkstra_1400_64b_sc_3</t>
  </si>
  <si>
    <t xml:space="preserve">Matrix Mult 800 16b</t>
  </si>
  <si>
    <t xml:space="preserve">Matrix Mult 800 32b</t>
  </si>
  <si>
    <t xml:space="preserve">Matrix Mult 800 48b</t>
  </si>
  <si>
    <t xml:space="preserve">Matrix Mult 800 64b</t>
  </si>
  <si>
    <t xml:space="preserve">Calc determinant 11 16b sc 3</t>
  </si>
  <si>
    <t xml:space="preserve">Calc determinant 11 32b sc 3</t>
  </si>
  <si>
    <t xml:space="preserve">Calc determinant 11 48b sc 3</t>
  </si>
  <si>
    <t xml:space="preserve">Calc determinant 11 64b sc 3</t>
  </si>
  <si>
    <t xml:space="preserve">Calc determinant 11 16b no sc</t>
  </si>
  <si>
    <t xml:space="preserve">Calc determinant 11 32b no sc</t>
  </si>
  <si>
    <t xml:space="preserve">Calc determinant 11 48b no sc</t>
  </si>
  <si>
    <t xml:space="preserve">Calc determinant 11 64b no sc</t>
  </si>
  <si>
    <t xml:space="preserve">Hanoi 24 print for delay 16b sc 3</t>
  </si>
  <si>
    <t xml:space="preserve">Hanoi 24 print for delay 32b sc 3</t>
  </si>
  <si>
    <t xml:space="preserve">Hanoi 24 print for delay 48b sc 3</t>
  </si>
  <si>
    <t xml:space="preserve">Hanoi 24 print for delay 64b sc 3</t>
  </si>
  <si>
    <t xml:space="preserve">Hanoi 24 print for delay 16b no sc</t>
  </si>
  <si>
    <t xml:space="preserve">Hanoi 24 print for delay 32b no sc</t>
  </si>
  <si>
    <t xml:space="preserve">Hanoi 24 print for delay 48b no sc</t>
  </si>
  <si>
    <t xml:space="preserve">Hanoi 24 print for delay 64b no sc</t>
  </si>
  <si>
    <t xml:space="preserve">RATIOS</t>
  </si>
  <si>
    <t xml:space="preserve">Dijkstra_1400_16b_useful_sc_3</t>
  </si>
  <si>
    <t xml:space="preserve">Dijkstra_1400_32b_useful_sc_3</t>
  </si>
  <si>
    <t xml:space="preserve">Dijkstra_1400_48b_useful_sc_3</t>
  </si>
  <si>
    <t xml:space="preserve">Dijkstra_1400_64b_useful_sc_3</t>
  </si>
  <si>
    <t xml:space="preserve">Best ratios:</t>
  </si>
  <si>
    <t xml:space="preserve">no macs</t>
  </si>
  <si>
    <t xml:space="preserve">ignoring macs</t>
  </si>
  <si>
    <t xml:space="preserve">with macs</t>
  </si>
  <si>
    <t xml:space="preserve">Primes</t>
  </si>
  <si>
    <t xml:space="preserve">(for 32 b, cache 400)</t>
  </si>
  <si>
    <t xml:space="preserve">Dijkstra</t>
  </si>
  <si>
    <t xml:space="preserve">Dijkstra w.c.</t>
  </si>
  <si>
    <t xml:space="preserve">Matrix Mult</t>
  </si>
  <si>
    <t xml:space="preserve">Determinant</t>
  </si>
  <si>
    <t xml:space="preserve">(for 64 b, cache 400)</t>
  </si>
  <si>
    <t xml:space="preserve">Determinant w.c.</t>
  </si>
  <si>
    <t xml:space="preserve">Hanoi</t>
  </si>
  <si>
    <t xml:space="preserve">Hanoi w.c.</t>
  </si>
  <si>
    <t xml:space="preserve">names here:</t>
  </si>
  <si>
    <t xml:space="preserve">normal exec</t>
  </si>
  <si>
    <t xml:space="preserve">Cache 2 way assoc, 50 data 50 code</t>
  </si>
  <si>
    <t xml:space="preserve">Cache 2 way assoc, 100 data 100 code</t>
  </si>
  <si>
    <t xml:space="preserve">Cache 2 way assoc, 150 data 150 code</t>
  </si>
  <si>
    <t xml:space="preserve">Cache 2 way assoc, 200 data 200 code</t>
  </si>
  <si>
    <t xml:space="preserve">Cache 2 way assoc, 250 data 250 code</t>
  </si>
  <si>
    <t xml:space="preserve">Cache 2 way assoc, 300 data 300 code</t>
  </si>
  <si>
    <t xml:space="preserve">Cache 2 way assoc, 350 data 350 code</t>
  </si>
  <si>
    <t xml:space="preserve">Cache 2 way assoc, 400 data 400 code</t>
  </si>
  <si>
    <t xml:space="preserve">16b_useful_sc_3</t>
  </si>
  <si>
    <t xml:space="preserve">32b_useful_sc_3</t>
  </si>
  <si>
    <t xml:space="preserve">48b_useful_sc_3</t>
  </si>
  <si>
    <t xml:space="preserve">64b_useful_sc_3</t>
  </si>
  <si>
    <t xml:space="preserve">80b_useful_sc_3</t>
  </si>
  <si>
    <t xml:space="preserve">fixed len 16b</t>
  </si>
  <si>
    <t xml:space="preserve">fixed len 32b</t>
  </si>
  <si>
    <t xml:space="preserve">fixed len 48b</t>
  </si>
  <si>
    <t xml:space="preserve">fixed len 64b</t>
  </si>
  <si>
    <t xml:space="preserve">Primes 150k</t>
  </si>
  <si>
    <t xml:space="preserve">Dijkstra 1400</t>
  </si>
  <si>
    <t xml:space="preserve">Dijkstra 1400 w.c.</t>
  </si>
  <si>
    <t xml:space="preserve">Matrix Mult 800</t>
  </si>
  <si>
    <t xml:space="preserve">Hanoi 24 print for delay</t>
  </si>
  <si>
    <t xml:space="preserve">Hanoi 24 print for delay w.c</t>
  </si>
  <si>
    <t xml:space="preserve">Calc determinant 11</t>
  </si>
  <si>
    <t xml:space="preserve">Calc determinant 11 w.c</t>
  </si>
  <si>
    <t xml:space="preserve">16 bytes</t>
  </si>
  <si>
    <t xml:space="preserve">32 bytes</t>
  </si>
  <si>
    <t xml:space="preserve">48 bytes</t>
  </si>
  <si>
    <t xml:space="preserve">64 bytes</t>
  </si>
  <si>
    <t xml:space="preserve">80 bytes</t>
  </si>
  <si>
    <t xml:space="preserve">No MACs</t>
  </si>
  <si>
    <t xml:space="preserve">Ignoring MACs</t>
  </si>
  <si>
    <t xml:space="preserve">INCLUDING MACS CACHE 
1(code)-1(data) (direct mapped)</t>
  </si>
  <si>
    <t xml:space="preserve">INCLUDING MACS CACHE 
2(code)-2(data) (direct mapped)</t>
  </si>
  <si>
    <t xml:space="preserve">INCLUDING MACS CACHE 
4(code)-4(data) (direct mapped)</t>
  </si>
  <si>
    <t xml:space="preserve">INCLUDING MACS CACHE 
6(code)-6(data) (direct mapped)</t>
  </si>
  <si>
    <t xml:space="preserve">INCLUDING MACS CACHE 
8(code)-8(data) (direct mapped)</t>
  </si>
  <si>
    <t xml:space="preserve">INCLUDING MACS CACHE 
10(code)-10(data) (direct mapped)</t>
  </si>
  <si>
    <t xml:space="preserve">INCLUDING MACS CACHE 
20(code)-20(data) (2 way set assoc)</t>
  </si>
  <si>
    <t xml:space="preserve">INCLUDING MACS CACHE
 40(code)-40(data) (2 way set assoc)</t>
  </si>
  <si>
    <t xml:space="preserve">INCLUDING MACS CACHE 
60(code)-60(data) (2 way set assoc)</t>
  </si>
  <si>
    <t xml:space="preserve">INCLUDING MACS CACHE 
80(code)-80(data) (2 way set assoc)</t>
  </si>
  <si>
    <t xml:space="preserve">we do everything</t>
  </si>
  <si>
    <t xml:space="preserve">Dijkstra_1400_80b_useful_sc_3</t>
  </si>
  <si>
    <t xml:space="preserve">Cache direct mapped , 1 data 1 code</t>
  </si>
  <si>
    <t xml:space="preserve">Cache direct mapped , 2 data 2 code</t>
  </si>
  <si>
    <t xml:space="preserve">Cache direct mapped , 4 data 4 code</t>
  </si>
  <si>
    <t xml:space="preserve">Cache direct mapped , 6 data 6 code</t>
  </si>
  <si>
    <t xml:space="preserve">Cache direct mapped , 8 data 8 code</t>
  </si>
  <si>
    <t xml:space="preserve">Cache direct mapped , 10 data 10 code</t>
  </si>
  <si>
    <t xml:space="preserve">Cache 2 way assoc, 20 data 20 code</t>
  </si>
  <si>
    <t xml:space="preserve">Cache 2 way assoc, 40 data 40 code</t>
  </si>
  <si>
    <t xml:space="preserve">Cache 2 way assoc, 60 data 60 code</t>
  </si>
  <si>
    <t xml:space="preserve">Cache 2 way assoc, 80 data 80 code</t>
  </si>
  <si>
    <t xml:space="preserve">Dijkstra_1400_sc_3</t>
  </si>
  <si>
    <t xml:space="preserve">Hanoi 28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</si>
</sst>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5"/>
      <color rgb="FF000000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Blocks with n=16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strRef>
              <c:f>may_2018_benchmarks!$A$158</c:f>
              <c:strCache>
                <c:ptCount val="1"/>
                <c:pt idx="0">
                  <c:v>Primes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may_2018_benchmarks!$F$52:$O$52</c:f>
              <c:numCache>
                <c:formatCode>General</c:formatCode>
                <c:ptCount val="10"/>
                <c:pt idx="0">
                  <c:v/>
                </c:pt>
                <c:pt idx="1">
                  <c:v>7.31464285714286</c:v>
                </c:pt>
                <c:pt idx="2">
                  <c:v>7.31464285714286</c:v>
                </c:pt>
                <c:pt idx="3">
                  <c:v>7.31464285714286</c:v>
                </c:pt>
                <c:pt idx="4">
                  <c:v>7.31464285714286</c:v>
                </c:pt>
                <c:pt idx="5">
                  <c:v>7.31464285714286</c:v>
                </c:pt>
                <c:pt idx="6">
                  <c:v>7.31464285714286</c:v>
                </c:pt>
                <c:pt idx="7">
                  <c:v>7.31464285714286</c:v>
                </c:pt>
                <c:pt idx="8">
                  <c:v>7.31464285714286</c:v>
                </c:pt>
                <c:pt idx="9">
                  <c:v/>
                </c:pt>
              </c:numCache>
            </c:numRef>
          </c:val>
          <c:smooth val="0"/>
        </c:ser>
        <c:ser>
          <c:idx val="1"/>
          <c:order val="1"/>
          <c:tx>
            <c:strRef>
              <c:f>may_2018_benchmarks!$A$159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may_2018_benchmarks!$F$57:$O$57</c:f>
              <c:numCache>
                <c:formatCode>General</c:formatCode>
                <c:ptCount val="10"/>
                <c:pt idx="0">
                  <c:v/>
                </c:pt>
                <c:pt idx="1">
                  <c:v>224.653383458647</c:v>
                </c:pt>
                <c:pt idx="2">
                  <c:v>206.902255639098</c:v>
                </c:pt>
                <c:pt idx="3">
                  <c:v>124.07969924812</c:v>
                </c:pt>
                <c:pt idx="4">
                  <c:v>95.5992481203007</c:v>
                </c:pt>
                <c:pt idx="5">
                  <c:v>70.2646616541353</c:v>
                </c:pt>
                <c:pt idx="6">
                  <c:v>58.2345864661654</c:v>
                </c:pt>
                <c:pt idx="7">
                  <c:v>59.318045112782</c:v>
                </c:pt>
                <c:pt idx="8">
                  <c:v>36.0428571428571</c:v>
                </c:pt>
                <c:pt idx="9">
                  <c:v/>
                </c:pt>
              </c:numCache>
            </c:numRef>
          </c:val>
          <c:smooth val="0"/>
        </c:ser>
        <c:ser>
          <c:idx val="2"/>
          <c:order val="2"/>
          <c:tx>
            <c:strRef>
              <c:f>may_2018_benchmarks!$A$160</c:f>
              <c:strCache>
                <c:ptCount val="1"/>
                <c:pt idx="0">
                  <c:v>Dijkstra w.c.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may_2018_benchmarks!$F$62:$O$62</c:f>
              <c:numCache>
                <c:formatCode>General</c:formatCode>
                <c:ptCount val="10"/>
                <c:pt idx="0">
                  <c:v/>
                </c:pt>
                <c:pt idx="1">
                  <c:v>263.014452554745</c:v>
                </c:pt>
                <c:pt idx="2">
                  <c:v>247.254598540146</c:v>
                </c:pt>
                <c:pt idx="3">
                  <c:v>177.459708029197</c:v>
                </c:pt>
                <c:pt idx="4">
                  <c:v>144.904233576642</c:v>
                </c:pt>
                <c:pt idx="5">
                  <c:v>98.174306569343</c:v>
                </c:pt>
                <c:pt idx="6">
                  <c:v>84.6531386861314</c:v>
                </c:pt>
                <c:pt idx="7">
                  <c:v>68.5093430656934</c:v>
                </c:pt>
                <c:pt idx="8">
                  <c:v>61.2867153284672</c:v>
                </c:pt>
                <c:pt idx="9">
                  <c:v/>
                </c:pt>
              </c:numCache>
            </c:numRef>
          </c:val>
          <c:smooth val="0"/>
        </c:ser>
        <c:ser>
          <c:idx val="3"/>
          <c:order val="3"/>
          <c:tx>
            <c:strRef>
              <c:f>may_2018_benchmarks!$A$161</c:f>
              <c:strCache>
                <c:ptCount val="1"/>
                <c:pt idx="0">
                  <c:v>Matrix Mult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may_2018_benchmarks!$F$67:$N$67</c:f>
              <c:numCache>
                <c:formatCode>General</c:formatCode>
                <c:ptCount val="9"/>
                <c:pt idx="0">
                  <c:v/>
                </c:pt>
                <c:pt idx="1">
                  <c:v>32.3702051282051</c:v>
                </c:pt>
                <c:pt idx="2">
                  <c:v>31.1891794871795</c:v>
                </c:pt>
                <c:pt idx="3">
                  <c:v>30.1086666666667</c:v>
                </c:pt>
                <c:pt idx="4">
                  <c:v>27.8096923076923</c:v>
                </c:pt>
                <c:pt idx="5">
                  <c:v>27.6912307692308</c:v>
                </c:pt>
                <c:pt idx="6">
                  <c:v>27.4861025641026</c:v>
                </c:pt>
                <c:pt idx="7">
                  <c:v>27.4671282051282</c:v>
                </c:pt>
                <c:pt idx="8">
                  <c:v>27.6404615384615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may_2018_benchmarks!$A$162</c:f>
              <c:strCache>
                <c:ptCount val="1"/>
                <c:pt idx="0">
                  <c:v>Determinant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may_2018_benchmarks!$F$77:$O$77</c:f>
              <c:numCache>
                <c:formatCode>General</c:formatCode>
                <c:ptCount val="10"/>
                <c:pt idx="0">
                  <c:v/>
                </c:pt>
                <c:pt idx="1">
                  <c:v>121.982460732984</c:v>
                </c:pt>
                <c:pt idx="2">
                  <c:v>79.6803664921466</c:v>
                </c:pt>
                <c:pt idx="3">
                  <c:v>47.5248691099476</c:v>
                </c:pt>
                <c:pt idx="4">
                  <c:v>15.1384816753927</c:v>
                </c:pt>
                <c:pt idx="5">
                  <c:v>14.6609947643979</c:v>
                </c:pt>
                <c:pt idx="6">
                  <c:v>14.1746073298429</c:v>
                </c:pt>
                <c:pt idx="7">
                  <c:v>17.4206806282722</c:v>
                </c:pt>
                <c:pt idx="8">
                  <c:v>14.1746073298429</c:v>
                </c:pt>
                <c:pt idx="9">
                  <c:v/>
                </c:pt>
              </c:numCache>
            </c:numRef>
          </c:val>
          <c:smooth val="0"/>
        </c:ser>
        <c:ser>
          <c:idx val="5"/>
          <c:order val="5"/>
          <c:tx>
            <c:strRef>
              <c:f>may_2018_benchmarks!$A$163</c:f>
              <c:strCache>
                <c:ptCount val="1"/>
                <c:pt idx="0">
                  <c:v>Determinant w.c.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may_2018_benchmarks!$F$72:$O$72</c:f>
              <c:numCache>
                <c:formatCode>General</c:formatCode>
                <c:ptCount val="10"/>
                <c:pt idx="0">
                  <c:v/>
                </c:pt>
                <c:pt idx="1">
                  <c:v>146.406958762887</c:v>
                </c:pt>
                <c:pt idx="2">
                  <c:v>102.52912371134</c:v>
                </c:pt>
                <c:pt idx="3">
                  <c:v>74.2322164948454</c:v>
                </c:pt>
                <c:pt idx="4">
                  <c:v>41.564175257732</c:v>
                </c:pt>
                <c:pt idx="5">
                  <c:v>19.0574742268041</c:v>
                </c:pt>
                <c:pt idx="6">
                  <c:v>37.055412371134</c:v>
                </c:pt>
                <c:pt idx="7">
                  <c:v>21.7961340206186</c:v>
                </c:pt>
                <c:pt idx="8">
                  <c:v>18.9744845360825</c:v>
                </c:pt>
                <c:pt idx="9">
                  <c:v/>
                </c:pt>
              </c:numCache>
            </c:numRef>
          </c:val>
          <c:smooth val="0"/>
        </c:ser>
        <c:ser>
          <c:idx val="6"/>
          <c:order val="6"/>
          <c:tx>
            <c:strRef>
              <c:f>may_2018_benchmarks!$A$164</c:f>
              <c:strCache>
                <c:ptCount val="1"/>
                <c:pt idx="0">
                  <c:v>Hanoi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may_2018_benchmarks!$F$87:$O$87</c:f>
              <c:numCache>
                <c:formatCode>General</c:formatCode>
                <c:ptCount val="10"/>
                <c:pt idx="0">
                  <c:v/>
                </c:pt>
                <c:pt idx="1">
                  <c:v>16.4935631578947</c:v>
                </c:pt>
                <c:pt idx="2">
                  <c:v>5.91777368421053</c:v>
                </c:pt>
                <c:pt idx="3">
                  <c:v>1.85040526315789</c:v>
                </c:pt>
                <c:pt idx="4">
                  <c:v>2.46040526315789</c:v>
                </c:pt>
                <c:pt idx="5">
                  <c:v>1.85040526315789</c:v>
                </c:pt>
                <c:pt idx="6">
                  <c:v>1.85040526315789</c:v>
                </c:pt>
                <c:pt idx="7">
                  <c:v>1.85040526315789</c:v>
                </c:pt>
                <c:pt idx="8">
                  <c:v>1.85040526315789</c:v>
                </c:pt>
                <c:pt idx="9">
                  <c:v/>
                </c:pt>
              </c:numCache>
            </c:numRef>
          </c:val>
          <c:smooth val="0"/>
        </c:ser>
        <c:ser>
          <c:idx val="7"/>
          <c:order val="7"/>
          <c:tx>
            <c:strRef>
              <c:f>may_2018_benchmarks!$A$165</c:f>
              <c:strCache>
                <c:ptCount val="1"/>
                <c:pt idx="0">
                  <c:v>Hanoi w.c.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may_2018_benchmarks!$F$82:$O$82</c:f>
              <c:numCache>
                <c:formatCode>General</c:formatCode>
                <c:ptCount val="10"/>
                <c:pt idx="0">
                  <c:v/>
                </c:pt>
                <c:pt idx="1">
                  <c:v>27.639421875</c:v>
                </c:pt>
                <c:pt idx="2">
                  <c:v>13.2540052083333</c:v>
                </c:pt>
                <c:pt idx="3">
                  <c:v>9.53213020833333</c:v>
                </c:pt>
                <c:pt idx="4">
                  <c:v>4.90556770833333</c:v>
                </c:pt>
                <c:pt idx="5">
                  <c:v>4.60400520833333</c:v>
                </c:pt>
                <c:pt idx="6">
                  <c:v>4.90556770833333</c:v>
                </c:pt>
                <c:pt idx="7">
                  <c:v>4.60400520833333</c:v>
                </c:pt>
                <c:pt idx="8">
                  <c:v>4.60400520833333</c:v>
                </c:pt>
                <c:pt idx="9">
                  <c:v/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74296626"/>
        <c:axId val="7472562"/>
      </c:lineChart>
      <c:catAx>
        <c:axId val="742966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sizes (number of blocks in data/instruction cache)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472562"/>
        <c:crosses val="autoZero"/>
        <c:auto val="1"/>
        <c:lblAlgn val="ctr"/>
        <c:lblOffset val="100"/>
      </c:catAx>
      <c:valAx>
        <c:axId val="747256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429662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Blocks with n=32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strRef>
              <c:f>may_2018_benchmarks!$A$158</c:f>
              <c:strCache>
                <c:ptCount val="1"/>
                <c:pt idx="0">
                  <c:v>Primes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may_2018_benchmarks!$F$53:$O$53</c:f>
              <c:numCache>
                <c:formatCode>General</c:formatCode>
                <c:ptCount val="10"/>
                <c:pt idx="0">
                  <c:v/>
                </c:pt>
                <c:pt idx="1">
                  <c:v>7.00735714285714</c:v>
                </c:pt>
                <c:pt idx="2">
                  <c:v>7.00735714285714</c:v>
                </c:pt>
                <c:pt idx="3">
                  <c:v>7.00735714285714</c:v>
                </c:pt>
                <c:pt idx="4">
                  <c:v>7.00735714285714</c:v>
                </c:pt>
                <c:pt idx="5">
                  <c:v>7.00735714285714</c:v>
                </c:pt>
                <c:pt idx="6">
                  <c:v>7.00735714285714</c:v>
                </c:pt>
                <c:pt idx="7">
                  <c:v>7.00735714285714</c:v>
                </c:pt>
                <c:pt idx="8">
                  <c:v>7.00735714285714</c:v>
                </c:pt>
                <c:pt idx="9">
                  <c:v/>
                </c:pt>
              </c:numCache>
            </c:numRef>
          </c:val>
          <c:smooth val="0"/>
        </c:ser>
        <c:ser>
          <c:idx val="1"/>
          <c:order val="1"/>
          <c:tx>
            <c:strRef>
              <c:f>may_2018_benchmarks!$A$159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may_2018_benchmarks!$F$58:$O$58</c:f>
              <c:numCache>
                <c:formatCode>General</c:formatCode>
                <c:ptCount val="10"/>
                <c:pt idx="0">
                  <c:v/>
                </c:pt>
                <c:pt idx="1">
                  <c:v>147.945488721805</c:v>
                </c:pt>
                <c:pt idx="2">
                  <c:v>70.4545112781955</c:v>
                </c:pt>
                <c:pt idx="3">
                  <c:v>41.5537593984962</c:v>
                </c:pt>
                <c:pt idx="4">
                  <c:v>34.8011278195489</c:v>
                </c:pt>
                <c:pt idx="5">
                  <c:v>27.7387218045113</c:v>
                </c:pt>
                <c:pt idx="6">
                  <c:v>26.8672932330827</c:v>
                </c:pt>
                <c:pt idx="7">
                  <c:v>23.5710526315789</c:v>
                </c:pt>
                <c:pt idx="8">
                  <c:v>22.046992481203</c:v>
                </c:pt>
                <c:pt idx="9">
                  <c:v/>
                </c:pt>
              </c:numCache>
            </c:numRef>
          </c:val>
          <c:smooth val="0"/>
        </c:ser>
        <c:ser>
          <c:idx val="2"/>
          <c:order val="2"/>
          <c:tx>
            <c:strRef>
              <c:f>may_2018_benchmarks!$A$160</c:f>
              <c:strCache>
                <c:ptCount val="1"/>
                <c:pt idx="0">
                  <c:v>Dijkstra w.c.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may_2018_benchmarks!$F$63:$O$63</c:f>
              <c:numCache>
                <c:formatCode>General</c:formatCode>
                <c:ptCount val="10"/>
                <c:pt idx="0">
                  <c:v/>
                </c:pt>
                <c:pt idx="1">
                  <c:v>181.17802919708</c:v>
                </c:pt>
                <c:pt idx="2">
                  <c:v>112.784598540146</c:v>
                </c:pt>
                <c:pt idx="3">
                  <c:v>62.1393430656934</c:v>
                </c:pt>
                <c:pt idx="4">
                  <c:v>49.7152554744526</c:v>
                </c:pt>
                <c:pt idx="5">
                  <c:v>42.0116058394161</c:v>
                </c:pt>
                <c:pt idx="6">
                  <c:v>35.8765693430657</c:v>
                </c:pt>
                <c:pt idx="7">
                  <c:v>34.9502919708029</c:v>
                </c:pt>
                <c:pt idx="8">
                  <c:v>32.0889781021898</c:v>
                </c:pt>
                <c:pt idx="9">
                  <c:v/>
                </c:pt>
              </c:numCache>
            </c:numRef>
          </c:val>
          <c:smooth val="0"/>
        </c:ser>
        <c:ser>
          <c:idx val="3"/>
          <c:order val="3"/>
          <c:tx>
            <c:strRef>
              <c:f>may_2018_benchmarks!$A$161</c:f>
              <c:strCache>
                <c:ptCount val="1"/>
                <c:pt idx="0">
                  <c:v>Matrix Mult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may_2018_benchmarks!$F$68:$N$68</c:f>
              <c:numCache>
                <c:formatCode>General</c:formatCode>
                <c:ptCount val="9"/>
                <c:pt idx="0">
                  <c:v/>
                </c:pt>
                <c:pt idx="1">
                  <c:v>31.5252307692308</c:v>
                </c:pt>
                <c:pt idx="2">
                  <c:v>28.5539487179487</c:v>
                </c:pt>
                <c:pt idx="3">
                  <c:v>28.0236923076923</c:v>
                </c:pt>
                <c:pt idx="4">
                  <c:v>27.6708717948718</c:v>
                </c:pt>
                <c:pt idx="5">
                  <c:v>27.6134358974359</c:v>
                </c:pt>
                <c:pt idx="6">
                  <c:v>27.5113846153846</c:v>
                </c:pt>
                <c:pt idx="7">
                  <c:v>27.4713846153846</c:v>
                </c:pt>
                <c:pt idx="8">
                  <c:v>27.3980512820513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may_2018_benchmarks!$A$162</c:f>
              <c:strCache>
                <c:ptCount val="1"/>
                <c:pt idx="0">
                  <c:v>Determinant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may_2018_benchmarks!$F$78:$O$78</c:f>
              <c:numCache>
                <c:formatCode>General</c:formatCode>
                <c:ptCount val="10"/>
                <c:pt idx="0">
                  <c:v/>
                </c:pt>
                <c:pt idx="1">
                  <c:v>53.7725654450262</c:v>
                </c:pt>
                <c:pt idx="2">
                  <c:v>13.8887958115183</c:v>
                </c:pt>
                <c:pt idx="3">
                  <c:v>12.9086910994764</c:v>
                </c:pt>
                <c:pt idx="4">
                  <c:v>12.6380104712042</c:v>
                </c:pt>
                <c:pt idx="5">
                  <c:v>12.2856544502618</c:v>
                </c:pt>
                <c:pt idx="6">
                  <c:v>12.2856544502618</c:v>
                </c:pt>
                <c:pt idx="7">
                  <c:v>12.2898429319372</c:v>
                </c:pt>
                <c:pt idx="8">
                  <c:v>12.2961256544503</c:v>
                </c:pt>
                <c:pt idx="9">
                  <c:v/>
                </c:pt>
              </c:numCache>
            </c:numRef>
          </c:val>
          <c:smooth val="0"/>
        </c:ser>
        <c:ser>
          <c:idx val="5"/>
          <c:order val="5"/>
          <c:tx>
            <c:strRef>
              <c:f>may_2018_benchmarks!$A$163</c:f>
              <c:strCache>
                <c:ptCount val="1"/>
                <c:pt idx="0">
                  <c:v>Determinant w.c.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may_2018_benchmarks!$F$73:$O$73</c:f>
              <c:numCache>
                <c:formatCode>General</c:formatCode>
                <c:ptCount val="10"/>
                <c:pt idx="0">
                  <c:v/>
                </c:pt>
                <c:pt idx="1">
                  <c:v>71.3430927835052</c:v>
                </c:pt>
                <c:pt idx="2">
                  <c:v>31.4879381443299</c:v>
                </c:pt>
                <c:pt idx="3">
                  <c:v>16.8240206185567</c:v>
                </c:pt>
                <c:pt idx="4">
                  <c:v>17.269381443299</c:v>
                </c:pt>
                <c:pt idx="5">
                  <c:v>16.8028865979381</c:v>
                </c:pt>
                <c:pt idx="6">
                  <c:v>16.8028865979381</c:v>
                </c:pt>
                <c:pt idx="7">
                  <c:v>16.8034020618557</c:v>
                </c:pt>
                <c:pt idx="8">
                  <c:v>16.8028865979381</c:v>
                </c:pt>
                <c:pt idx="9">
                  <c:v/>
                </c:pt>
              </c:numCache>
            </c:numRef>
          </c:val>
          <c:smooth val="0"/>
        </c:ser>
        <c:ser>
          <c:idx val="6"/>
          <c:order val="6"/>
          <c:tx>
            <c:strRef>
              <c:f>may_2018_benchmarks!$A$164</c:f>
              <c:strCache>
                <c:ptCount val="1"/>
                <c:pt idx="0">
                  <c:v>Hanoi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may_2018_benchmarks!$F$88:$O$88</c:f>
              <c:numCache>
                <c:formatCode>General</c:formatCode>
                <c:ptCount val="10"/>
                <c:pt idx="0">
                  <c:v/>
                </c:pt>
                <c:pt idx="1">
                  <c:v>4.93955789473684</c:v>
                </c:pt>
                <c:pt idx="2">
                  <c:v>1.75692631578947</c:v>
                </c:pt>
                <c:pt idx="3">
                  <c:v>1.75692631578947</c:v>
                </c:pt>
                <c:pt idx="4">
                  <c:v>1.75692631578947</c:v>
                </c:pt>
                <c:pt idx="5">
                  <c:v>1.75692631578947</c:v>
                </c:pt>
                <c:pt idx="6">
                  <c:v>1.75692631578947</c:v>
                </c:pt>
                <c:pt idx="7">
                  <c:v>1.75692631578947</c:v>
                </c:pt>
                <c:pt idx="8">
                  <c:v>1.75692631578947</c:v>
                </c:pt>
                <c:pt idx="9">
                  <c:v/>
                </c:pt>
              </c:numCache>
            </c:numRef>
          </c:val>
          <c:smooth val="0"/>
        </c:ser>
        <c:ser>
          <c:idx val="7"/>
          <c:order val="7"/>
          <c:tx>
            <c:strRef>
              <c:f>may_2018_benchmarks!$A$165</c:f>
              <c:strCache>
                <c:ptCount val="1"/>
                <c:pt idx="0">
                  <c:v>Hanoi w.c.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may_2018_benchmarks!$F$83:$O$83</c:f>
              <c:numCache>
                <c:formatCode>General</c:formatCode>
                <c:ptCount val="10"/>
                <c:pt idx="0">
                  <c:v/>
                </c:pt>
                <c:pt idx="1">
                  <c:v>11.0270104166667</c:v>
                </c:pt>
                <c:pt idx="2">
                  <c:v>6.06503125</c:v>
                </c:pt>
                <c:pt idx="3">
                  <c:v>4.50044791666667</c:v>
                </c:pt>
                <c:pt idx="4">
                  <c:v>4.50044791666667</c:v>
                </c:pt>
                <c:pt idx="5">
                  <c:v>4.50044791666667</c:v>
                </c:pt>
                <c:pt idx="6">
                  <c:v>4.50044791666667</c:v>
                </c:pt>
                <c:pt idx="7">
                  <c:v>4.50044791666667</c:v>
                </c:pt>
                <c:pt idx="8">
                  <c:v>4.50044791666667</c:v>
                </c:pt>
                <c:pt idx="9">
                  <c:v/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23754559"/>
        <c:axId val="64577963"/>
      </c:lineChart>
      <c:catAx>
        <c:axId val="237545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sizes (number of blocks in data/instruction cache)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4577963"/>
        <c:crossesAt val="0"/>
        <c:auto val="1"/>
        <c:lblAlgn val="ctr"/>
        <c:lblOffset val="100"/>
      </c:catAx>
      <c:valAx>
        <c:axId val="6457796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3754559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Blocks with n=48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strRef>
              <c:f>may_2018_benchmarks!$A$158</c:f>
              <c:strCache>
                <c:ptCount val="1"/>
                <c:pt idx="0">
                  <c:v>Primes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may_2018_benchmarks!$F$54:$O$54</c:f>
              <c:numCache>
                <c:formatCode>General</c:formatCode>
                <c:ptCount val="10"/>
                <c:pt idx="0">
                  <c:v/>
                </c:pt>
                <c:pt idx="1">
                  <c:v>8.16178571428572</c:v>
                </c:pt>
                <c:pt idx="2">
                  <c:v>8.16178571428572</c:v>
                </c:pt>
                <c:pt idx="3">
                  <c:v>8.16178571428572</c:v>
                </c:pt>
                <c:pt idx="4">
                  <c:v>8.16178571428572</c:v>
                </c:pt>
                <c:pt idx="5">
                  <c:v>8.16178571428572</c:v>
                </c:pt>
                <c:pt idx="6">
                  <c:v>8.16178571428572</c:v>
                </c:pt>
                <c:pt idx="7">
                  <c:v>8.16178571428572</c:v>
                </c:pt>
                <c:pt idx="8">
                  <c:v>8.16178571428572</c:v>
                </c:pt>
                <c:pt idx="9">
                  <c:v/>
                </c:pt>
              </c:numCache>
            </c:numRef>
          </c:val>
          <c:smooth val="0"/>
        </c:ser>
        <c:ser>
          <c:idx val="1"/>
          <c:order val="1"/>
          <c:tx>
            <c:strRef>
              <c:f>may_2018_benchmarks!$A$159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may_2018_benchmarks!$F$59:$O$59</c:f>
              <c:numCache>
                <c:formatCode>General</c:formatCode>
                <c:ptCount val="10"/>
                <c:pt idx="0">
                  <c:v/>
                </c:pt>
                <c:pt idx="1">
                  <c:v>94.6551127819549</c:v>
                </c:pt>
                <c:pt idx="2">
                  <c:v>51.6310526315789</c:v>
                </c:pt>
                <c:pt idx="3">
                  <c:v>34.21</c:v>
                </c:pt>
                <c:pt idx="4">
                  <c:v>32.1701503759398</c:v>
                </c:pt>
                <c:pt idx="5">
                  <c:v>27.591954887218</c:v>
                </c:pt>
                <c:pt idx="6">
                  <c:v>24.6303007518797</c:v>
                </c:pt>
                <c:pt idx="7">
                  <c:v>24.9739097744361</c:v>
                </c:pt>
                <c:pt idx="8">
                  <c:v>23.6912030075188</c:v>
                </c:pt>
                <c:pt idx="9">
                  <c:v/>
                </c:pt>
              </c:numCache>
            </c:numRef>
          </c:val>
          <c:smooth val="0"/>
        </c:ser>
        <c:ser>
          <c:idx val="2"/>
          <c:order val="2"/>
          <c:tx>
            <c:strRef>
              <c:f>may_2018_benchmarks!$A$160</c:f>
              <c:strCache>
                <c:ptCount val="1"/>
                <c:pt idx="0">
                  <c:v>Dijkstra w.c.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may_2018_benchmarks!$F$64:$O$64</c:f>
              <c:numCache>
                <c:formatCode>General</c:formatCode>
                <c:ptCount val="10"/>
                <c:pt idx="0">
                  <c:v/>
                </c:pt>
                <c:pt idx="1">
                  <c:v>130.239270072993</c:v>
                </c:pt>
                <c:pt idx="2">
                  <c:v>72.1896350364963</c:v>
                </c:pt>
                <c:pt idx="3">
                  <c:v>52.6297810218978</c:v>
                </c:pt>
                <c:pt idx="4">
                  <c:v>44.3290510948905</c:v>
                </c:pt>
                <c:pt idx="5">
                  <c:v>41.1465693430657</c:v>
                </c:pt>
                <c:pt idx="6">
                  <c:v>37.954598540146</c:v>
                </c:pt>
                <c:pt idx="7">
                  <c:v>35.2896350364963</c:v>
                </c:pt>
                <c:pt idx="8">
                  <c:v>33.6305109489051</c:v>
                </c:pt>
                <c:pt idx="9">
                  <c:v/>
                </c:pt>
              </c:numCache>
            </c:numRef>
          </c:val>
          <c:smooth val="0"/>
        </c:ser>
        <c:ser>
          <c:idx val="3"/>
          <c:order val="3"/>
          <c:tx>
            <c:strRef>
              <c:f>may_2018_benchmarks!$A$161</c:f>
              <c:strCache>
                <c:ptCount val="1"/>
                <c:pt idx="0">
                  <c:v>Matrix Mult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may_2018_benchmarks!$F$69:$N$69</c:f>
              <c:numCache>
                <c:formatCode>General</c:formatCode>
                <c:ptCount val="9"/>
                <c:pt idx="0">
                  <c:v/>
                </c:pt>
                <c:pt idx="1">
                  <c:v>43.3486666666667</c:v>
                </c:pt>
                <c:pt idx="2">
                  <c:v>34.1902051282051</c:v>
                </c:pt>
                <c:pt idx="3">
                  <c:v>33.6440512820513</c:v>
                </c:pt>
                <c:pt idx="4">
                  <c:v>33.3122564102564</c:v>
                </c:pt>
                <c:pt idx="5">
                  <c:v>33.2727692307692</c:v>
                </c:pt>
                <c:pt idx="6">
                  <c:v>33.1045641025641</c:v>
                </c:pt>
                <c:pt idx="7">
                  <c:v>33.1327692307692</c:v>
                </c:pt>
                <c:pt idx="8">
                  <c:v>32.9481538461538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may_2018_benchmarks!$A$162</c:f>
              <c:strCache>
                <c:ptCount val="1"/>
                <c:pt idx="0">
                  <c:v>Determinant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may_2018_benchmarks!$F$79:$O$79</c:f>
              <c:numCache>
                <c:formatCode>General</c:formatCode>
                <c:ptCount val="10"/>
                <c:pt idx="0">
                  <c:v/>
                </c:pt>
                <c:pt idx="1">
                  <c:v>24.2793717277487</c:v>
                </c:pt>
                <c:pt idx="2">
                  <c:v>13.4364397905759</c:v>
                </c:pt>
                <c:pt idx="3">
                  <c:v>13.3338219895288</c:v>
                </c:pt>
                <c:pt idx="4">
                  <c:v>13.3364397905759</c:v>
                </c:pt>
                <c:pt idx="5">
                  <c:v>13.4416753926702</c:v>
                </c:pt>
                <c:pt idx="6">
                  <c:v>13.3327748691099</c:v>
                </c:pt>
                <c:pt idx="7">
                  <c:v>13.3327748691099</c:v>
                </c:pt>
                <c:pt idx="8">
                  <c:v>13.3364397905759</c:v>
                </c:pt>
                <c:pt idx="9">
                  <c:v/>
                </c:pt>
              </c:numCache>
            </c:numRef>
          </c:val>
          <c:smooth val="0"/>
        </c:ser>
        <c:ser>
          <c:idx val="5"/>
          <c:order val="5"/>
          <c:tx>
            <c:strRef>
              <c:f>may_2018_benchmarks!$A$163</c:f>
              <c:strCache>
                <c:ptCount val="1"/>
                <c:pt idx="0">
                  <c:v>Determinant w.c.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may_2018_benchmarks!$F$74:$O$74</c:f>
              <c:numCache>
                <c:formatCode>General</c:formatCode>
                <c:ptCount val="10"/>
                <c:pt idx="0">
                  <c:v/>
                </c:pt>
                <c:pt idx="1">
                  <c:v>49.2428350515464</c:v>
                </c:pt>
                <c:pt idx="2">
                  <c:v>22.6557216494845</c:v>
                </c:pt>
                <c:pt idx="3">
                  <c:v>20.5959278350515</c:v>
                </c:pt>
                <c:pt idx="4">
                  <c:v>17.9717010309278</c:v>
                </c:pt>
                <c:pt idx="5">
                  <c:v>18.0490206185567</c:v>
                </c:pt>
                <c:pt idx="6">
                  <c:v>17.9696391752577</c:v>
                </c:pt>
                <c:pt idx="7">
                  <c:v>17.9696391752577</c:v>
                </c:pt>
                <c:pt idx="8">
                  <c:v>17.9717010309278</c:v>
                </c:pt>
                <c:pt idx="9">
                  <c:v/>
                </c:pt>
              </c:numCache>
            </c:numRef>
          </c:val>
          <c:smooth val="0"/>
        </c:ser>
        <c:ser>
          <c:idx val="6"/>
          <c:order val="6"/>
          <c:tx>
            <c:strRef>
              <c:f>may_2018_benchmarks!$A$164</c:f>
              <c:strCache>
                <c:ptCount val="1"/>
                <c:pt idx="0">
                  <c:v>Hanoi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may_2018_benchmarks!$F$89:$O$89</c:f>
              <c:numCache>
                <c:formatCode>General</c:formatCode>
                <c:ptCount val="10"/>
                <c:pt idx="0">
                  <c:v/>
                </c:pt>
                <c:pt idx="1">
                  <c:v>1.82531052631579</c:v>
                </c:pt>
                <c:pt idx="2">
                  <c:v>1.82531052631579</c:v>
                </c:pt>
                <c:pt idx="3">
                  <c:v>1.82531052631579</c:v>
                </c:pt>
                <c:pt idx="4">
                  <c:v>1.82531052631579</c:v>
                </c:pt>
                <c:pt idx="5">
                  <c:v>1.82531052631579</c:v>
                </c:pt>
                <c:pt idx="6">
                  <c:v>1.82531052631579</c:v>
                </c:pt>
                <c:pt idx="7">
                  <c:v>1.82531052631579</c:v>
                </c:pt>
                <c:pt idx="8">
                  <c:v>1.82531052631579</c:v>
                </c:pt>
                <c:pt idx="9">
                  <c:v/>
                </c:pt>
              </c:numCache>
            </c:numRef>
          </c:val>
          <c:smooth val="0"/>
        </c:ser>
        <c:ser>
          <c:idx val="7"/>
          <c:order val="7"/>
          <c:tx>
            <c:strRef>
              <c:f>may_2018_benchmarks!$A$165</c:f>
              <c:strCache>
                <c:ptCount val="1"/>
                <c:pt idx="0">
                  <c:v>Hanoi w.c.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may_2018_benchmarks!$F$84:$O$84</c:f>
              <c:numCache>
                <c:formatCode>General</c:formatCode>
                <c:ptCount val="10"/>
                <c:pt idx="0">
                  <c:v/>
                </c:pt>
                <c:pt idx="1">
                  <c:v>9.90709375</c:v>
                </c:pt>
                <c:pt idx="2">
                  <c:v>5.69980208333333</c:v>
                </c:pt>
                <c:pt idx="3">
                  <c:v>5.69980208333333</c:v>
                </c:pt>
                <c:pt idx="4">
                  <c:v>4.73053125</c:v>
                </c:pt>
                <c:pt idx="5">
                  <c:v>4.73053125</c:v>
                </c:pt>
                <c:pt idx="6">
                  <c:v>5.69980208333333</c:v>
                </c:pt>
                <c:pt idx="7">
                  <c:v>4.73053125</c:v>
                </c:pt>
                <c:pt idx="8">
                  <c:v>4.73053125</c:v>
                </c:pt>
                <c:pt idx="9">
                  <c:v/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44228641"/>
        <c:axId val="59138864"/>
      </c:lineChart>
      <c:catAx>
        <c:axId val="442286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sizes (number of blocks in data/instruction cache)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9138864"/>
        <c:crosses val="autoZero"/>
        <c:auto val="1"/>
        <c:lblAlgn val="ctr"/>
        <c:lblOffset val="100"/>
      </c:catAx>
      <c:valAx>
        <c:axId val="5913886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422864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Blocks with n=64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strRef>
              <c:f>may_2018_benchmarks!$A$158</c:f>
              <c:strCache>
                <c:ptCount val="1"/>
                <c:pt idx="0">
                  <c:v>Primes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may_2018_benchmarks!$F$55:$O$55</c:f>
              <c:numCache>
                <c:formatCode>General</c:formatCode>
                <c:ptCount val="10"/>
                <c:pt idx="0">
                  <c:v/>
                </c:pt>
                <c:pt idx="1">
                  <c:v>7.18657142857143</c:v>
                </c:pt>
                <c:pt idx="2">
                  <c:v>7.18657142857143</c:v>
                </c:pt>
                <c:pt idx="3">
                  <c:v>7.18657142857143</c:v>
                </c:pt>
                <c:pt idx="4">
                  <c:v>7.18657142857143</c:v>
                </c:pt>
                <c:pt idx="5">
                  <c:v>7.18657142857143</c:v>
                </c:pt>
                <c:pt idx="6">
                  <c:v>7.18657142857143</c:v>
                </c:pt>
                <c:pt idx="7">
                  <c:v>7.18657142857143</c:v>
                </c:pt>
                <c:pt idx="8">
                  <c:v>7.18657142857143</c:v>
                </c:pt>
                <c:pt idx="9">
                  <c:v/>
                </c:pt>
              </c:numCache>
            </c:numRef>
          </c:val>
          <c:smooth val="0"/>
        </c:ser>
        <c:ser>
          <c:idx val="1"/>
          <c:order val="1"/>
          <c:tx>
            <c:strRef>
              <c:f>may_2018_benchmarks!$A$159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may_2018_benchmarks!$F$60:$O$60</c:f>
              <c:numCache>
                <c:formatCode>General</c:formatCode>
                <c:ptCount val="10"/>
                <c:pt idx="0">
                  <c:v/>
                </c:pt>
                <c:pt idx="1">
                  <c:v>76.4369172932331</c:v>
                </c:pt>
                <c:pt idx="2">
                  <c:v>44.9978195488722</c:v>
                </c:pt>
                <c:pt idx="3">
                  <c:v>35.051954887218</c:v>
                </c:pt>
                <c:pt idx="4">
                  <c:v>30.2632330827068</c:v>
                </c:pt>
                <c:pt idx="5">
                  <c:v>31.5812781954887</c:v>
                </c:pt>
                <c:pt idx="6">
                  <c:v>24.5775187969925</c:v>
                </c:pt>
                <c:pt idx="7">
                  <c:v>27.2617293233083</c:v>
                </c:pt>
                <c:pt idx="8">
                  <c:v>22.7271428571429</c:v>
                </c:pt>
                <c:pt idx="9">
                  <c:v/>
                </c:pt>
              </c:numCache>
            </c:numRef>
          </c:val>
          <c:smooth val="0"/>
        </c:ser>
        <c:ser>
          <c:idx val="2"/>
          <c:order val="2"/>
          <c:tx>
            <c:strRef>
              <c:f>may_2018_benchmarks!$A$160</c:f>
              <c:strCache>
                <c:ptCount val="1"/>
                <c:pt idx="0">
                  <c:v>Dijkstra w.c.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may_2018_benchmarks!$F$65:$O$65</c:f>
              <c:numCache>
                <c:formatCode>General</c:formatCode>
                <c:ptCount val="10"/>
                <c:pt idx="0">
                  <c:v/>
                </c:pt>
                <c:pt idx="1">
                  <c:v>111.807153284672</c:v>
                </c:pt>
                <c:pt idx="2">
                  <c:v>63.2509489051095</c:v>
                </c:pt>
                <c:pt idx="3">
                  <c:v>52.0436496350365</c:v>
                </c:pt>
                <c:pt idx="4">
                  <c:v>42.2042335766423</c:v>
                </c:pt>
                <c:pt idx="5">
                  <c:v>42.2502189781022</c:v>
                </c:pt>
                <c:pt idx="6">
                  <c:v>39.0735766423358</c:v>
                </c:pt>
                <c:pt idx="7">
                  <c:v>41.269197080292</c:v>
                </c:pt>
                <c:pt idx="8">
                  <c:v>32.8487591240876</c:v>
                </c:pt>
                <c:pt idx="9">
                  <c:v/>
                </c:pt>
              </c:numCache>
            </c:numRef>
          </c:val>
          <c:smooth val="0"/>
        </c:ser>
        <c:ser>
          <c:idx val="3"/>
          <c:order val="3"/>
          <c:tx>
            <c:strRef>
              <c:f>may_2018_benchmarks!$A$161</c:f>
              <c:strCache>
                <c:ptCount val="1"/>
                <c:pt idx="0">
                  <c:v>Matrix Mult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may_2018_benchmarks!$F$70:$N$70</c:f>
              <c:numCache>
                <c:formatCode>General</c:formatCode>
                <c:ptCount val="9"/>
                <c:pt idx="0">
                  <c:v/>
                </c:pt>
                <c:pt idx="1">
                  <c:v>38.3212307692308</c:v>
                </c:pt>
                <c:pt idx="2">
                  <c:v>36.1248205128205</c:v>
                </c:pt>
                <c:pt idx="3">
                  <c:v>35.5858461538462</c:v>
                </c:pt>
                <c:pt idx="4">
                  <c:v>35.2930256410256</c:v>
                </c:pt>
                <c:pt idx="5">
                  <c:v>35.137641025641</c:v>
                </c:pt>
                <c:pt idx="6">
                  <c:v>35.0104615384615</c:v>
                </c:pt>
                <c:pt idx="7">
                  <c:v>34.9735384615385</c:v>
                </c:pt>
                <c:pt idx="8">
                  <c:v>34.8822564102564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may_2018_benchmarks!$A$162</c:f>
              <c:strCache>
                <c:ptCount val="1"/>
                <c:pt idx="0">
                  <c:v>Determinant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may_2018_benchmarks!$F$80:$O$80</c:f>
              <c:numCache>
                <c:formatCode>General</c:formatCode>
                <c:ptCount val="10"/>
                <c:pt idx="0">
                  <c:v/>
                </c:pt>
                <c:pt idx="1">
                  <c:v>19.7903141361257</c:v>
                </c:pt>
                <c:pt idx="2">
                  <c:v>19.7903141361257</c:v>
                </c:pt>
                <c:pt idx="3">
                  <c:v>11.9034031413613</c:v>
                </c:pt>
                <c:pt idx="4">
                  <c:v>12.2913612565445</c:v>
                </c:pt>
                <c:pt idx="5">
                  <c:v>11.8950261780105</c:v>
                </c:pt>
                <c:pt idx="6">
                  <c:v>11.9034031413613</c:v>
                </c:pt>
                <c:pt idx="7">
                  <c:v>11.8950261780105</c:v>
                </c:pt>
                <c:pt idx="8">
                  <c:v>11.8950261780105</c:v>
                </c:pt>
                <c:pt idx="9">
                  <c:v/>
                </c:pt>
              </c:numCache>
            </c:numRef>
          </c:val>
          <c:smooth val="0"/>
        </c:ser>
        <c:ser>
          <c:idx val="5"/>
          <c:order val="5"/>
          <c:tx>
            <c:strRef>
              <c:f>may_2018_benchmarks!$A$163</c:f>
              <c:strCache>
                <c:ptCount val="1"/>
                <c:pt idx="0">
                  <c:v>Determinant w.c.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may_2018_benchmarks!$F$75:$O$75</c:f>
              <c:numCache>
                <c:formatCode>General</c:formatCode>
                <c:ptCount val="10"/>
                <c:pt idx="0">
                  <c:v/>
                </c:pt>
                <c:pt idx="1">
                  <c:v>32.0190206185567</c:v>
                </c:pt>
                <c:pt idx="2">
                  <c:v>23.9989175257732</c:v>
                </c:pt>
                <c:pt idx="3">
                  <c:v>16.4004639175258</c:v>
                </c:pt>
                <c:pt idx="4">
                  <c:v>16.5886082474227</c:v>
                </c:pt>
                <c:pt idx="5">
                  <c:v>16.3973711340206</c:v>
                </c:pt>
                <c:pt idx="6">
                  <c:v>16.4004639175258</c:v>
                </c:pt>
                <c:pt idx="7">
                  <c:v>16.3973711340206</c:v>
                </c:pt>
                <c:pt idx="8">
                  <c:v>16.3973711340206</c:v>
                </c:pt>
                <c:pt idx="9">
                  <c:v/>
                </c:pt>
              </c:numCache>
            </c:numRef>
          </c:val>
          <c:smooth val="0"/>
        </c:ser>
        <c:ser>
          <c:idx val="6"/>
          <c:order val="6"/>
          <c:tx>
            <c:strRef>
              <c:f>may_2018_benchmarks!$A$164</c:f>
              <c:strCache>
                <c:ptCount val="1"/>
                <c:pt idx="0">
                  <c:v>Hanoi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may_2018_benchmarks!$F$90:$O$90</c:f>
              <c:numCache>
                <c:formatCode>General</c:formatCode>
                <c:ptCount val="10"/>
                <c:pt idx="0">
                  <c:v/>
                </c:pt>
                <c:pt idx="1">
                  <c:v>1.68325789473684</c:v>
                </c:pt>
                <c:pt idx="2">
                  <c:v>1.68325789473684</c:v>
                </c:pt>
                <c:pt idx="3">
                  <c:v>1.68325789473684</c:v>
                </c:pt>
                <c:pt idx="4">
                  <c:v>1.68325789473684</c:v>
                </c:pt>
                <c:pt idx="5">
                  <c:v>1.68325789473684</c:v>
                </c:pt>
                <c:pt idx="6">
                  <c:v>1.68325789473684</c:v>
                </c:pt>
                <c:pt idx="7">
                  <c:v>1.68325789473684</c:v>
                </c:pt>
                <c:pt idx="8">
                  <c:v>1.68325789473684</c:v>
                </c:pt>
                <c:pt idx="9">
                  <c:v/>
                </c:pt>
              </c:numCache>
            </c:numRef>
          </c:val>
          <c:smooth val="0"/>
        </c:ser>
        <c:ser>
          <c:idx val="7"/>
          <c:order val="7"/>
          <c:tx>
            <c:strRef>
              <c:f>may_2018_benchmarks!$A$165</c:f>
              <c:strCache>
                <c:ptCount val="1"/>
                <c:pt idx="0">
                  <c:v>Hanoi w.c.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may_2018_benchmarks!$F$118:$O$118</c:f>
              <c:strCache>
                <c:ptCount val="10"/>
                <c:pt idx="0">
                  <c:v/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/>
                </c:pt>
              </c:strCache>
            </c:strRef>
          </c:cat>
          <c:val>
            <c:numRef>
              <c:f>may_2018_benchmarks!$F$85:$O$85</c:f>
              <c:numCache>
                <c:formatCode>General</c:formatCode>
                <c:ptCount val="10"/>
                <c:pt idx="0">
                  <c:v/>
                </c:pt>
                <c:pt idx="1">
                  <c:v>4.44518229166667</c:v>
                </c:pt>
                <c:pt idx="2">
                  <c:v>4.42591145833333</c:v>
                </c:pt>
                <c:pt idx="3">
                  <c:v>4.425390625</c:v>
                </c:pt>
                <c:pt idx="4">
                  <c:v>4.425390625</c:v>
                </c:pt>
                <c:pt idx="5">
                  <c:v>4.425390625</c:v>
                </c:pt>
                <c:pt idx="6">
                  <c:v>4.425390625</c:v>
                </c:pt>
                <c:pt idx="7">
                  <c:v>4.425390625</c:v>
                </c:pt>
                <c:pt idx="8">
                  <c:v>4.425390625</c:v>
                </c:pt>
                <c:pt idx="9">
                  <c:v/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74468881"/>
        <c:axId val="13205211"/>
      </c:lineChart>
      <c:catAx>
        <c:axId val="744688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sizes (number of blocks in data/instruction cache)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3205211"/>
        <c:crossesAt val="0"/>
        <c:auto val="1"/>
        <c:lblAlgn val="ctr"/>
        <c:lblOffset val="100"/>
      </c:catAx>
      <c:valAx>
        <c:axId val="1320521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4468881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Best ratios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strRef>
              <c:f>may_2018_benchmarks!$A$96</c:f>
              <c:strCache>
                <c:ptCount val="1"/>
                <c:pt idx="0">
                  <c:v>Primes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may_2018_benchmarks!$B$95:$F$95</c:f>
              <c:strCache>
                <c:ptCount val="5"/>
                <c:pt idx="0">
                  <c:v/>
                </c:pt>
                <c:pt idx="1">
                  <c:v>no macs</c:v>
                </c:pt>
                <c:pt idx="2">
                  <c:v>ignoring macs</c:v>
                </c:pt>
                <c:pt idx="3">
                  <c:v>with macs</c:v>
                </c:pt>
                <c:pt idx="4">
                  <c:v/>
                </c:pt>
              </c:strCache>
            </c:strRef>
          </c:cat>
          <c:val>
            <c:numRef>
              <c:f>may_2018_benchmarks!$B$96:$F$96</c:f>
              <c:numCache>
                <c:formatCode>General</c:formatCode>
                <c:ptCount val="5"/>
                <c:pt idx="0">
                  <c:v/>
                </c:pt>
                <c:pt idx="1">
                  <c:v>6.74380714285714</c:v>
                </c:pt>
                <c:pt idx="2">
                  <c:v>7.00735714285714</c:v>
                </c:pt>
                <c:pt idx="3">
                  <c:v>7.00735714285714</c:v>
                </c:pt>
                <c:pt idx="4">
                  <c:v/>
                </c:pt>
              </c:numCache>
            </c:numRef>
          </c:val>
          <c:smooth val="0"/>
        </c:ser>
        <c:ser>
          <c:idx val="1"/>
          <c:order val="1"/>
          <c:tx>
            <c:strRef>
              <c:f>may_2018_benchmarks!$A$97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may_2018_benchmarks!$B$95:$F$95</c:f>
              <c:strCache>
                <c:ptCount val="5"/>
                <c:pt idx="0">
                  <c:v/>
                </c:pt>
                <c:pt idx="1">
                  <c:v>no macs</c:v>
                </c:pt>
                <c:pt idx="2">
                  <c:v>ignoring macs</c:v>
                </c:pt>
                <c:pt idx="3">
                  <c:v>with macs</c:v>
                </c:pt>
                <c:pt idx="4">
                  <c:v/>
                </c:pt>
              </c:strCache>
            </c:strRef>
          </c:cat>
          <c:val>
            <c:numRef>
              <c:f>may_2018_benchmarks!$B$97:$F$97</c:f>
              <c:numCache>
                <c:formatCode>General</c:formatCode>
                <c:ptCount val="5"/>
                <c:pt idx="0">
                  <c:v/>
                </c:pt>
                <c:pt idx="1">
                  <c:v>9.98496240601504</c:v>
                </c:pt>
                <c:pt idx="2">
                  <c:v>10.4369172932331</c:v>
                </c:pt>
                <c:pt idx="3">
                  <c:v>22.046992481203</c:v>
                </c:pt>
                <c:pt idx="4">
                  <c:v/>
                </c:pt>
              </c:numCache>
            </c:numRef>
          </c:val>
          <c:smooth val="0"/>
        </c:ser>
        <c:ser>
          <c:idx val="2"/>
          <c:order val="2"/>
          <c:tx>
            <c:strRef>
              <c:f>may_2018_benchmarks!$A$98</c:f>
              <c:strCache>
                <c:ptCount val="1"/>
                <c:pt idx="0">
                  <c:v>Dijkstra w.c.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may_2018_benchmarks!$B$95:$F$95</c:f>
              <c:strCache>
                <c:ptCount val="5"/>
                <c:pt idx="0">
                  <c:v/>
                </c:pt>
                <c:pt idx="1">
                  <c:v>no macs</c:v>
                </c:pt>
                <c:pt idx="2">
                  <c:v>ignoring macs</c:v>
                </c:pt>
                <c:pt idx="3">
                  <c:v>with macs</c:v>
                </c:pt>
                <c:pt idx="4">
                  <c:v/>
                </c:pt>
              </c:strCache>
            </c:strRef>
          </c:cat>
          <c:val>
            <c:numRef>
              <c:f>may_2018_benchmarks!$B$98:$F$98</c:f>
              <c:numCache>
                <c:formatCode>General</c:formatCode>
                <c:ptCount val="5"/>
                <c:pt idx="0">
                  <c:v/>
                </c:pt>
                <c:pt idx="1">
                  <c:v>19.9743065693431</c:v>
                </c:pt>
                <c:pt idx="2">
                  <c:v>20.4757664233577</c:v>
                </c:pt>
                <c:pt idx="3">
                  <c:v>32.0889781021898</c:v>
                </c:pt>
                <c:pt idx="4">
                  <c:v/>
                </c:pt>
              </c:numCache>
            </c:numRef>
          </c:val>
          <c:smooth val="0"/>
        </c:ser>
        <c:ser>
          <c:idx val="3"/>
          <c:order val="3"/>
          <c:tx>
            <c:strRef>
              <c:f>may_2018_benchmarks!$A$99</c:f>
              <c:strCache>
                <c:ptCount val="1"/>
                <c:pt idx="0">
                  <c:v>Matrix Mult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may_2018_benchmarks!$B$95:$F$95</c:f>
              <c:strCache>
                <c:ptCount val="5"/>
                <c:pt idx="0">
                  <c:v/>
                </c:pt>
                <c:pt idx="1">
                  <c:v>no macs</c:v>
                </c:pt>
                <c:pt idx="2">
                  <c:v>ignoring macs</c:v>
                </c:pt>
                <c:pt idx="3">
                  <c:v>with macs</c:v>
                </c:pt>
                <c:pt idx="4">
                  <c:v/>
                </c:pt>
              </c:strCache>
            </c:strRef>
          </c:cat>
          <c:val>
            <c:numRef>
              <c:f>may_2018_benchmarks!$B$99:$F$99</c:f>
              <c:numCache>
                <c:formatCode>General</c:formatCode>
                <c:ptCount val="5"/>
                <c:pt idx="0">
                  <c:v/>
                </c:pt>
                <c:pt idx="1">
                  <c:v>10.4348205128205</c:v>
                </c:pt>
                <c:pt idx="2">
                  <c:v>11.1555897435897</c:v>
                </c:pt>
                <c:pt idx="3">
                  <c:v>27.3980512820513</c:v>
                </c:pt>
                <c:pt idx="4">
                  <c:v/>
                </c:pt>
              </c:numCache>
            </c:numRef>
          </c:val>
          <c:smooth val="0"/>
        </c:ser>
        <c:ser>
          <c:idx val="4"/>
          <c:order val="4"/>
          <c:tx>
            <c:strRef>
              <c:f>may_2018_benchmarks!$A$100</c:f>
              <c:strCache>
                <c:ptCount val="1"/>
                <c:pt idx="0">
                  <c:v>Determinant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may_2018_benchmarks!$B$95:$F$95</c:f>
              <c:strCache>
                <c:ptCount val="5"/>
                <c:pt idx="0">
                  <c:v/>
                </c:pt>
                <c:pt idx="1">
                  <c:v>no macs</c:v>
                </c:pt>
                <c:pt idx="2">
                  <c:v>ignoring macs</c:v>
                </c:pt>
                <c:pt idx="3">
                  <c:v>with macs</c:v>
                </c:pt>
                <c:pt idx="4">
                  <c:v/>
                </c:pt>
              </c:strCache>
            </c:strRef>
          </c:cat>
          <c:val>
            <c:numRef>
              <c:f>may_2018_benchmarks!$B$100:$F$100</c:f>
              <c:numCache>
                <c:formatCode>General</c:formatCode>
                <c:ptCount val="5"/>
                <c:pt idx="0">
                  <c:v/>
                </c:pt>
                <c:pt idx="1">
                  <c:v>11.4438743455497</c:v>
                </c:pt>
                <c:pt idx="2">
                  <c:v>11.8950261780105</c:v>
                </c:pt>
                <c:pt idx="3">
                  <c:v>11.8950261780105</c:v>
                </c:pt>
                <c:pt idx="4">
                  <c:v/>
                </c:pt>
              </c:numCache>
            </c:numRef>
          </c:val>
          <c:smooth val="0"/>
        </c:ser>
        <c:ser>
          <c:idx val="5"/>
          <c:order val="5"/>
          <c:tx>
            <c:strRef>
              <c:f>may_2018_benchmarks!$A$101</c:f>
              <c:strCache>
                <c:ptCount val="1"/>
                <c:pt idx="0">
                  <c:v>Determinant w.c.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may_2018_benchmarks!$B$95:$F$95</c:f>
              <c:strCache>
                <c:ptCount val="5"/>
                <c:pt idx="0">
                  <c:v/>
                </c:pt>
                <c:pt idx="1">
                  <c:v>no macs</c:v>
                </c:pt>
                <c:pt idx="2">
                  <c:v>ignoring macs</c:v>
                </c:pt>
                <c:pt idx="3">
                  <c:v>with macs</c:v>
                </c:pt>
                <c:pt idx="4">
                  <c:v/>
                </c:pt>
              </c:strCache>
            </c:strRef>
          </c:cat>
          <c:val>
            <c:numRef>
              <c:f>may_2018_benchmarks!$B$101:$F$101</c:f>
              <c:numCache>
                <c:formatCode>General</c:formatCode>
                <c:ptCount val="5"/>
                <c:pt idx="0">
                  <c:v/>
                </c:pt>
                <c:pt idx="1">
                  <c:v>16.1462886597938</c:v>
                </c:pt>
                <c:pt idx="2">
                  <c:v>16.3973711340206</c:v>
                </c:pt>
                <c:pt idx="3">
                  <c:v>16.3973711340206</c:v>
                </c:pt>
                <c:pt idx="4">
                  <c:v/>
                </c:pt>
              </c:numCache>
            </c:numRef>
          </c:val>
          <c:smooth val="0"/>
        </c:ser>
        <c:ser>
          <c:idx val="6"/>
          <c:order val="6"/>
          <c:tx>
            <c:strRef>
              <c:f>may_2018_benchmarks!$A$102</c:f>
              <c:strCache>
                <c:ptCount val="1"/>
                <c:pt idx="0">
                  <c:v>Hanoi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may_2018_benchmarks!$B$95:$F$95</c:f>
              <c:strCache>
                <c:ptCount val="5"/>
                <c:pt idx="0">
                  <c:v/>
                </c:pt>
                <c:pt idx="1">
                  <c:v>no macs</c:v>
                </c:pt>
                <c:pt idx="2">
                  <c:v>ignoring macs</c:v>
                </c:pt>
                <c:pt idx="3">
                  <c:v>with macs</c:v>
                </c:pt>
                <c:pt idx="4">
                  <c:v/>
                </c:pt>
              </c:strCache>
            </c:strRef>
          </c:cat>
          <c:val>
            <c:numRef>
              <c:f>may_2018_benchmarks!$B$102:$F$102</c:f>
              <c:numCache>
                <c:formatCode>General</c:formatCode>
                <c:ptCount val="5"/>
                <c:pt idx="0">
                  <c:v/>
                </c:pt>
                <c:pt idx="1">
                  <c:v>1.73989473684211</c:v>
                </c:pt>
                <c:pt idx="2">
                  <c:v>1.68325789473684</c:v>
                </c:pt>
                <c:pt idx="3">
                  <c:v>1.68325789473684</c:v>
                </c:pt>
                <c:pt idx="4">
                  <c:v/>
                </c:pt>
              </c:numCache>
            </c:numRef>
          </c:val>
          <c:smooth val="0"/>
        </c:ser>
        <c:ser>
          <c:idx val="7"/>
          <c:order val="7"/>
          <c:tx>
            <c:strRef>
              <c:f>may_2018_benchmarks!$A$103</c:f>
              <c:strCache>
                <c:ptCount val="1"/>
                <c:pt idx="0">
                  <c:v>Hanoi w.c.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may_2018_benchmarks!$B$95:$F$95</c:f>
              <c:strCache>
                <c:ptCount val="5"/>
                <c:pt idx="0">
                  <c:v/>
                </c:pt>
                <c:pt idx="1">
                  <c:v>no macs</c:v>
                </c:pt>
                <c:pt idx="2">
                  <c:v>ignoring macs</c:v>
                </c:pt>
                <c:pt idx="3">
                  <c:v>with macs</c:v>
                </c:pt>
                <c:pt idx="4">
                  <c:v/>
                </c:pt>
              </c:strCache>
            </c:strRef>
          </c:cat>
          <c:val>
            <c:numRef>
              <c:f>may_2018_benchmarks!$B$103:$F$103</c:f>
              <c:numCache>
                <c:formatCode>General</c:formatCode>
                <c:ptCount val="5"/>
                <c:pt idx="0">
                  <c:v/>
                </c:pt>
                <c:pt idx="1">
                  <c:v>4.41088020833333</c:v>
                </c:pt>
                <c:pt idx="2">
                  <c:v>4.425390625</c:v>
                </c:pt>
                <c:pt idx="3">
                  <c:v>4.425390625</c:v>
                </c:pt>
                <c:pt idx="4">
                  <c:v/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42440279"/>
        <c:axId val="78328695"/>
      </c:lineChart>
      <c:catAx>
        <c:axId val="42440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Different worlds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8328695"/>
        <c:crosses val="autoZero"/>
        <c:auto val="1"/>
        <c:lblAlgn val="ctr"/>
        <c:lblOffset val="100"/>
      </c:catAx>
      <c:valAx>
        <c:axId val="7832869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2440279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calc all macs no cache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286177902345"/>
          <c:y val="0.164089267524771"/>
          <c:w val="0.586320499582043"/>
          <c:h val="0.652282618760996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Primes 150k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333.676895306859</c:v>
                </c:pt>
                <c:pt idx="1">
                  <c:v>332.510613718412</c:v>
                </c:pt>
                <c:pt idx="2">
                  <c:v>352.476895306859</c:v>
                </c:pt>
                <c:pt idx="3">
                  <c:v>356.406064981949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Hanoi 28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4"/>
                <c:pt idx="0">
                  <c:v>490.419659574468</c:v>
                </c:pt>
                <c:pt idx="1">
                  <c:v>411.414127659574</c:v>
                </c:pt>
                <c:pt idx="2">
                  <c:v>431.025531914894</c:v>
                </c:pt>
                <c:pt idx="3">
                  <c:v>454.123914893617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Matrix Mult 800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4"/>
                <c:pt idx="0">
                  <c:v>624.875140186916</c:v>
                </c:pt>
                <c:pt idx="1">
                  <c:v>549.005171339564</c:v>
                </c:pt>
                <c:pt idx="2">
                  <c:v>564.472523364486</c:v>
                </c:pt>
                <c:pt idx="3">
                  <c:v>611.343613707165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Calc determinant 11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4"/>
                <c:pt idx="0">
                  <c:v>464.121137440758</c:v>
                </c:pt>
                <c:pt idx="1">
                  <c:v>408.121990521327</c:v>
                </c:pt>
                <c:pt idx="2">
                  <c:v>434.409573459716</c:v>
                </c:pt>
                <c:pt idx="3">
                  <c:v>454.174312796209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49815441"/>
        <c:axId val="55811892"/>
      </c:lineChart>
      <c:catAx>
        <c:axId val="498154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Useful bytes in block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5811892"/>
        <c:crosses val="autoZero"/>
        <c:auto val="1"/>
        <c:lblAlgn val="ctr"/>
        <c:lblOffset val="100"/>
      </c:catAx>
      <c:valAx>
        <c:axId val="5581189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9815441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calc all macs best with cache (200 blocks data, 200 blocks code)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257434531735"/>
          <c:y val="0.164089267524771"/>
          <c:w val="0.586329338659565"/>
          <c:h val="0.652282618760996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Primes 150k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8.62490974729242</c:v>
                </c:pt>
                <c:pt idx="1">
                  <c:v>8.23624548736462</c:v>
                </c:pt>
                <c:pt idx="2">
                  <c:v>9.25162454873646</c:v>
                </c:pt>
                <c:pt idx="3">
                  <c:v>8.52447653429603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Hanoi 28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4"/>
                <c:pt idx="0">
                  <c:v>10.2775319148936</c:v>
                </c:pt>
                <c:pt idx="1">
                  <c:v>10.0771063829787</c:v>
                </c:pt>
                <c:pt idx="2">
                  <c:v>9.70723404255319</c:v>
                </c:pt>
                <c:pt idx="3">
                  <c:v>9.33753191489362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Matrix Mult 800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4"/>
                <c:pt idx="0">
                  <c:v>36.0620560747664</c:v>
                </c:pt>
                <c:pt idx="1">
                  <c:v>37.5085981308411</c:v>
                </c:pt>
                <c:pt idx="2">
                  <c:v>43.6083489096573</c:v>
                </c:pt>
                <c:pt idx="3">
                  <c:v>46.2345794392523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Calc determinant 11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4"/>
                <c:pt idx="0">
                  <c:v>13.3339336492891</c:v>
                </c:pt>
                <c:pt idx="1">
                  <c:v>12.9357345971564</c:v>
                </c:pt>
                <c:pt idx="2">
                  <c:v>14.0683412322275</c:v>
                </c:pt>
                <c:pt idx="3">
                  <c:v>13.8828436018957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81638952"/>
        <c:axId val="14715683"/>
      </c:lineChart>
      <c:catAx>
        <c:axId val="816389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Useful bytes in block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4715683"/>
        <c:crosses val="autoZero"/>
        <c:auto val="1"/>
        <c:lblAlgn val="ctr"/>
        <c:lblOffset val="100"/>
      </c:catAx>
      <c:valAx>
        <c:axId val="1471568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1638952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calc all macs with 64 useful block size all cache configs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224679188313"/>
          <c:y val="0.164"/>
          <c:w val="0.586252830691355"/>
          <c:h val="0.377586206896552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Primes 150k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4"/>
                <c:pt idx="0">
                  <c:v>356.406064981949</c:v>
                </c:pt>
                <c:pt idx="1">
                  <c:v>8.56490974729242</c:v>
                </c:pt>
                <c:pt idx="2">
                  <c:v>8.54469314079423</c:v>
                </c:pt>
                <c:pt idx="3">
                  <c:v>8.54108303249097</c:v>
                </c:pt>
                <c:pt idx="4">
                  <c:v>8.52664259927798</c:v>
                </c:pt>
                <c:pt idx="5">
                  <c:v>8.52592057761733</c:v>
                </c:pt>
                <c:pt idx="6">
                  <c:v>8.52519855595668</c:v>
                </c:pt>
                <c:pt idx="7">
                  <c:v>8.52447653429603</c:v>
                </c:pt>
                <c:pt idx="8">
                  <c:v>8.52447653429603</c:v>
                </c:pt>
                <c:pt idx="9">
                  <c:v>8.52447653429603</c:v>
                </c:pt>
                <c:pt idx="10">
                  <c:v>8.52447653429603</c:v>
                </c:pt>
                <c:pt idx="11">
                  <c:v>8.52447653429603</c:v>
                </c:pt>
                <c:pt idx="12">
                  <c:v>8.52447653429603</c:v>
                </c:pt>
                <c:pt idx="13">
                  <c:v>8.52447653429603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Hanoi 28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4"/>
                <c:pt idx="0">
                  <c:v>454.123914893617</c:v>
                </c:pt>
                <c:pt idx="1">
                  <c:v>191.294978723404</c:v>
                </c:pt>
                <c:pt idx="2">
                  <c:v>181.186893617021</c:v>
                </c:pt>
                <c:pt idx="3">
                  <c:v>130.642212765957</c:v>
                </c:pt>
                <c:pt idx="4">
                  <c:v>135.696680851064</c:v>
                </c:pt>
                <c:pt idx="5">
                  <c:v>95.2617872340425</c:v>
                </c:pt>
                <c:pt idx="6">
                  <c:v>82.6260425531915</c:v>
                </c:pt>
                <c:pt idx="7">
                  <c:v>26.3954042553191</c:v>
                </c:pt>
                <c:pt idx="8">
                  <c:v>9.95370212765958</c:v>
                </c:pt>
                <c:pt idx="9">
                  <c:v>9.35710638297872</c:v>
                </c:pt>
                <c:pt idx="10">
                  <c:v>9.33753191489362</c:v>
                </c:pt>
                <c:pt idx="11">
                  <c:v>9.33753191489362</c:v>
                </c:pt>
                <c:pt idx="12">
                  <c:v>9.33753191489362</c:v>
                </c:pt>
                <c:pt idx="13">
                  <c:v>9.33753191489362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Matrix Mult 800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4"/>
                <c:pt idx="0">
                  <c:v>611.343613707165</c:v>
                </c:pt>
                <c:pt idx="1">
                  <c:v>328.398442367601</c:v>
                </c:pt>
                <c:pt idx="2">
                  <c:v>151.615264797508</c:v>
                </c:pt>
                <c:pt idx="3">
                  <c:v>104.616510903427</c:v>
                </c:pt>
                <c:pt idx="4">
                  <c:v>86.6501557632399</c:v>
                </c:pt>
                <c:pt idx="5">
                  <c:v>77.3043613707165</c:v>
                </c:pt>
                <c:pt idx="6">
                  <c:v>71.5373831775701</c:v>
                </c:pt>
                <c:pt idx="7">
                  <c:v>53.8376947040498</c:v>
                </c:pt>
                <c:pt idx="8">
                  <c:v>49.8819314641745</c:v>
                </c:pt>
                <c:pt idx="9">
                  <c:v>47.8277258566978</c:v>
                </c:pt>
                <c:pt idx="10">
                  <c:v>47.3043613707165</c:v>
                </c:pt>
                <c:pt idx="11">
                  <c:v>46.8052959501558</c:v>
                </c:pt>
                <c:pt idx="12">
                  <c:v>46.4352024922118</c:v>
                </c:pt>
                <c:pt idx="13">
                  <c:v>46.2345794392523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Calc determinant 11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4"/>
                <c:pt idx="0">
                  <c:v>454.174312796209</c:v>
                </c:pt>
                <c:pt idx="1">
                  <c:v>177.73355450237</c:v>
                </c:pt>
                <c:pt idx="2">
                  <c:v>93.758672985782</c:v>
                </c:pt>
                <c:pt idx="3">
                  <c:v>77.0036966824645</c:v>
                </c:pt>
                <c:pt idx="4">
                  <c:v>64.8221800947867</c:v>
                </c:pt>
                <c:pt idx="5">
                  <c:v>52.6335545023697</c:v>
                </c:pt>
                <c:pt idx="6">
                  <c:v>40.5937440758294</c:v>
                </c:pt>
                <c:pt idx="7">
                  <c:v>28.0449289099526</c:v>
                </c:pt>
                <c:pt idx="8">
                  <c:v>12.6387677725119</c:v>
                </c:pt>
                <c:pt idx="9">
                  <c:v>13.301327014218</c:v>
                </c:pt>
                <c:pt idx="10">
                  <c:v>12.922654028436</c:v>
                </c:pt>
                <c:pt idx="11">
                  <c:v>23.1278672985782</c:v>
                </c:pt>
                <c:pt idx="12">
                  <c:v>12.6387677725119</c:v>
                </c:pt>
                <c:pt idx="13">
                  <c:v>13.8828436018957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36882246"/>
        <c:axId val="30270987"/>
      </c:lineChart>
      <c:catAx>
        <c:axId val="368822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configurations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0270987"/>
        <c:crosses val="autoZero"/>
        <c:auto val="1"/>
        <c:lblAlgn val="ctr"/>
        <c:lblOffset val="100"/>
      </c:catAx>
      <c:valAx>
        <c:axId val="3027098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6882246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calc all macs with 48 useful block size all cache configs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216471426663"/>
          <c:y val="0.164"/>
          <c:w val="0.586254509821389"/>
          <c:h val="0.377586206896552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Primes 150k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4"/>
                <c:pt idx="0">
                  <c:v>352.476895306859</c:v>
                </c:pt>
                <c:pt idx="1">
                  <c:v>9.285559566787</c:v>
                </c:pt>
                <c:pt idx="2">
                  <c:v>9.26895306859206</c:v>
                </c:pt>
                <c:pt idx="3">
                  <c:v>9.26606498194946</c:v>
                </c:pt>
                <c:pt idx="4">
                  <c:v>9.25306859205776</c:v>
                </c:pt>
                <c:pt idx="5">
                  <c:v>9.25306859205776</c:v>
                </c:pt>
                <c:pt idx="6">
                  <c:v>9.25234657039711</c:v>
                </c:pt>
                <c:pt idx="7">
                  <c:v>9.25162454873646</c:v>
                </c:pt>
                <c:pt idx="8">
                  <c:v>9.25162454873646</c:v>
                </c:pt>
                <c:pt idx="9">
                  <c:v>9.25162454873646</c:v>
                </c:pt>
                <c:pt idx="10">
                  <c:v>9.25162454873646</c:v>
                </c:pt>
                <c:pt idx="11">
                  <c:v>9.25162454873646</c:v>
                </c:pt>
                <c:pt idx="12">
                  <c:v>9.25162454873646</c:v>
                </c:pt>
                <c:pt idx="13">
                  <c:v>9.25162454873646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Hanoi 28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4"/>
                <c:pt idx="0">
                  <c:v>431.025531914894</c:v>
                </c:pt>
                <c:pt idx="1">
                  <c:v>161.381276595745</c:v>
                </c:pt>
                <c:pt idx="2">
                  <c:v>152.954893617021</c:v>
                </c:pt>
                <c:pt idx="3">
                  <c:v>110.822978723404</c:v>
                </c:pt>
                <c:pt idx="4">
                  <c:v>115.036595744681</c:v>
                </c:pt>
                <c:pt idx="5">
                  <c:v>81.3310638297872</c:v>
                </c:pt>
                <c:pt idx="6">
                  <c:v>70.7982978723404</c:v>
                </c:pt>
                <c:pt idx="7">
                  <c:v>23.9259574468085</c:v>
                </c:pt>
                <c:pt idx="8">
                  <c:v>10.2212765957447</c:v>
                </c:pt>
                <c:pt idx="9">
                  <c:v>9.72340425531915</c:v>
                </c:pt>
                <c:pt idx="10">
                  <c:v>9.70723404255319</c:v>
                </c:pt>
                <c:pt idx="11">
                  <c:v>9.70723404255319</c:v>
                </c:pt>
                <c:pt idx="12">
                  <c:v>9.70723404255319</c:v>
                </c:pt>
                <c:pt idx="13">
                  <c:v>9.70723404255319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Matrix Mult 800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4"/>
                <c:pt idx="0">
                  <c:v>564.472523364486</c:v>
                </c:pt>
                <c:pt idx="1">
                  <c:v>279.997133956386</c:v>
                </c:pt>
                <c:pt idx="2">
                  <c:v>131.880623052959</c:v>
                </c:pt>
                <c:pt idx="3">
                  <c:v>92.670031152648</c:v>
                </c:pt>
                <c:pt idx="4">
                  <c:v>77.7647352024922</c:v>
                </c:pt>
                <c:pt idx="5">
                  <c:v>69.9254828660436</c:v>
                </c:pt>
                <c:pt idx="6">
                  <c:v>65.1229906542056</c:v>
                </c:pt>
                <c:pt idx="7">
                  <c:v>50.4681619937695</c:v>
                </c:pt>
                <c:pt idx="8">
                  <c:v>47.6351401869159</c:v>
                </c:pt>
                <c:pt idx="9">
                  <c:v>45.7522741433022</c:v>
                </c:pt>
                <c:pt idx="10">
                  <c:v>44.5734579439252</c:v>
                </c:pt>
                <c:pt idx="11">
                  <c:v>44.2214330218069</c:v>
                </c:pt>
                <c:pt idx="12">
                  <c:v>43.8806230529595</c:v>
                </c:pt>
                <c:pt idx="13">
                  <c:v>43.6083489096573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Calc determinant 11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4"/>
                <c:pt idx="0">
                  <c:v>434.409573459716</c:v>
                </c:pt>
                <c:pt idx="1">
                  <c:v>155.516208530806</c:v>
                </c:pt>
                <c:pt idx="2">
                  <c:v>87.5237914691943</c:v>
                </c:pt>
                <c:pt idx="3">
                  <c:v>73.4745023696682</c:v>
                </c:pt>
                <c:pt idx="4">
                  <c:v>51.3778199052133</c:v>
                </c:pt>
                <c:pt idx="5">
                  <c:v>43.1266350710901</c:v>
                </c:pt>
                <c:pt idx="6">
                  <c:v>38.9887203791469</c:v>
                </c:pt>
                <c:pt idx="7">
                  <c:v>24.4498578199052</c:v>
                </c:pt>
                <c:pt idx="8">
                  <c:v>19.7536492890995</c:v>
                </c:pt>
                <c:pt idx="9">
                  <c:v>19.5432227488152</c:v>
                </c:pt>
                <c:pt idx="10">
                  <c:v>14.5460663507109</c:v>
                </c:pt>
                <c:pt idx="11">
                  <c:v>14.1569668246446</c:v>
                </c:pt>
                <c:pt idx="12">
                  <c:v>14.0726066350711</c:v>
                </c:pt>
                <c:pt idx="13">
                  <c:v>14.0683412322275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39293759"/>
        <c:axId val="32124936"/>
      </c:lineChart>
      <c:catAx>
        <c:axId val="392937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configurations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2124936"/>
        <c:crosses val="autoZero"/>
        <c:auto val="1"/>
        <c:lblAlgn val="ctr"/>
        <c:lblOffset val="100"/>
      </c:catAx>
      <c:valAx>
        <c:axId val="3212493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9293759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calc all macs with 32 useful block size all cache configs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29583146571"/>
          <c:y val="0.164"/>
          <c:w val="0.586239354549529"/>
          <c:h val="0.377586206896552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Primes 150k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4"/>
                <c:pt idx="0">
                  <c:v>332.510613718412</c:v>
                </c:pt>
                <c:pt idx="1">
                  <c:v>181.214584837545</c:v>
                </c:pt>
                <c:pt idx="2">
                  <c:v>181.201588447653</c:v>
                </c:pt>
                <c:pt idx="3">
                  <c:v>159.58714801444</c:v>
                </c:pt>
                <c:pt idx="4">
                  <c:v>137.96476534296</c:v>
                </c:pt>
                <c:pt idx="5">
                  <c:v>51.5149458483755</c:v>
                </c:pt>
                <c:pt idx="6">
                  <c:v>8.28534296028881</c:v>
                </c:pt>
                <c:pt idx="7">
                  <c:v>8.23624548736462</c:v>
                </c:pt>
                <c:pt idx="8">
                  <c:v>8.23624548736462</c:v>
                </c:pt>
                <c:pt idx="9">
                  <c:v>8.23624548736462</c:v>
                </c:pt>
                <c:pt idx="10">
                  <c:v>8.23624548736462</c:v>
                </c:pt>
                <c:pt idx="11">
                  <c:v>8.23624548736462</c:v>
                </c:pt>
                <c:pt idx="12">
                  <c:v>8.23624548736462</c:v>
                </c:pt>
                <c:pt idx="13">
                  <c:v>8.23624548736462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Hanoi 28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4"/>
                <c:pt idx="0">
                  <c:v>411.414127659574</c:v>
                </c:pt>
                <c:pt idx="1">
                  <c:v>363.797957446808</c:v>
                </c:pt>
                <c:pt idx="2">
                  <c:v>356.995404255319</c:v>
                </c:pt>
                <c:pt idx="3">
                  <c:v>312.780085106383</c:v>
                </c:pt>
                <c:pt idx="4">
                  <c:v>309.379234042553</c:v>
                </c:pt>
                <c:pt idx="5">
                  <c:v>271.966468085106</c:v>
                </c:pt>
                <c:pt idx="6">
                  <c:v>239.654978723404</c:v>
                </c:pt>
                <c:pt idx="7">
                  <c:v>130.39285106383</c:v>
                </c:pt>
                <c:pt idx="8">
                  <c:v>10.4915744680851</c:v>
                </c:pt>
                <c:pt idx="9">
                  <c:v>10.0898723404255</c:v>
                </c:pt>
                <c:pt idx="10">
                  <c:v>10.0771063829787</c:v>
                </c:pt>
                <c:pt idx="11">
                  <c:v>10.0771063829787</c:v>
                </c:pt>
                <c:pt idx="12">
                  <c:v>10.0771063829787</c:v>
                </c:pt>
                <c:pt idx="13">
                  <c:v>10.0771063829787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Matrix Mult 800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4"/>
                <c:pt idx="0">
                  <c:v>549.005171339564</c:v>
                </c:pt>
                <c:pt idx="1">
                  <c:v>454.15968847352</c:v>
                </c:pt>
                <c:pt idx="2">
                  <c:v>335.656884735202</c:v>
                </c:pt>
                <c:pt idx="3">
                  <c:v>304.588971962617</c:v>
                </c:pt>
                <c:pt idx="4">
                  <c:v>273.861869158879</c:v>
                </c:pt>
                <c:pt idx="5">
                  <c:v>210.964672897196</c:v>
                </c:pt>
                <c:pt idx="6">
                  <c:v>131.545358255452</c:v>
                </c:pt>
                <c:pt idx="7">
                  <c:v>44.1198130841122</c:v>
                </c:pt>
                <c:pt idx="8">
                  <c:v>41.5490965732087</c:v>
                </c:pt>
                <c:pt idx="9">
                  <c:v>40.8313395638629</c:v>
                </c:pt>
                <c:pt idx="10">
                  <c:v>39.641308411215</c:v>
                </c:pt>
                <c:pt idx="11">
                  <c:v>38.067476635514</c:v>
                </c:pt>
                <c:pt idx="12">
                  <c:v>37.7628037383178</c:v>
                </c:pt>
                <c:pt idx="13">
                  <c:v>37.5085981308411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Calc determinant 11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4"/>
                <c:pt idx="0">
                  <c:v>408.121990521327</c:v>
                </c:pt>
                <c:pt idx="1">
                  <c:v>330.727677725119</c:v>
                </c:pt>
                <c:pt idx="2">
                  <c:v>272.903981042654</c:v>
                </c:pt>
                <c:pt idx="3">
                  <c:v>258.692132701422</c:v>
                </c:pt>
                <c:pt idx="4">
                  <c:v>230.722464454976</c:v>
                </c:pt>
                <c:pt idx="5">
                  <c:v>221.338104265403</c:v>
                </c:pt>
                <c:pt idx="6">
                  <c:v>213.230995260664</c:v>
                </c:pt>
                <c:pt idx="7">
                  <c:v>136.090710900474</c:v>
                </c:pt>
                <c:pt idx="8">
                  <c:v>70.5475829383886</c:v>
                </c:pt>
                <c:pt idx="9">
                  <c:v>53.9636966824645</c:v>
                </c:pt>
                <c:pt idx="10">
                  <c:v>24.3556398104265</c:v>
                </c:pt>
                <c:pt idx="11">
                  <c:v>13.6167772511848</c:v>
                </c:pt>
                <c:pt idx="12">
                  <c:v>12.9452132701422</c:v>
                </c:pt>
                <c:pt idx="13">
                  <c:v>12.9357345971564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26993277"/>
        <c:axId val="12136509"/>
      </c:lineChart>
      <c:catAx>
        <c:axId val="269932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configurations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2136509"/>
        <c:crosses val="autoZero"/>
        <c:auto val="1"/>
        <c:lblAlgn val="ctr"/>
        <c:lblOffset val="100"/>
      </c:catAx>
      <c:valAx>
        <c:axId val="1213650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6993277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calc all macs with 16 useful block size all cache configs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284188614354"/>
          <c:y val="0.164"/>
          <c:w val="0.586252149515793"/>
          <c:h val="0.377586206896552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Primes 150k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4"/>
                <c:pt idx="0">
                  <c:v>333.676895306859</c:v>
                </c:pt>
                <c:pt idx="1">
                  <c:v>219.928880866426</c:v>
                </c:pt>
                <c:pt idx="2">
                  <c:v>219.918772563177</c:v>
                </c:pt>
                <c:pt idx="3">
                  <c:v>219.916606498195</c:v>
                </c:pt>
                <c:pt idx="4">
                  <c:v>203.662454873646</c:v>
                </c:pt>
                <c:pt idx="5">
                  <c:v>171.16714801444</c:v>
                </c:pt>
                <c:pt idx="6">
                  <c:v>106.184476534296</c:v>
                </c:pt>
                <c:pt idx="7">
                  <c:v>8.6971119133574</c:v>
                </c:pt>
                <c:pt idx="8">
                  <c:v>8.65451263537906</c:v>
                </c:pt>
                <c:pt idx="9">
                  <c:v>8.62490974729242</c:v>
                </c:pt>
                <c:pt idx="10">
                  <c:v>8.62490974729242</c:v>
                </c:pt>
                <c:pt idx="11">
                  <c:v>8.62490974729242</c:v>
                </c:pt>
                <c:pt idx="12">
                  <c:v>8.62490974729242</c:v>
                </c:pt>
                <c:pt idx="13">
                  <c:v>8.62490974729242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Hanoi 28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4"/>
                <c:pt idx="0">
                  <c:v>490.419659574468</c:v>
                </c:pt>
                <c:pt idx="1">
                  <c:v>448.668170212766</c:v>
                </c:pt>
                <c:pt idx="2">
                  <c:v>443.449446808511</c:v>
                </c:pt>
                <c:pt idx="3">
                  <c:v>412.136255319149</c:v>
                </c:pt>
                <c:pt idx="4">
                  <c:v>409.526042553192</c:v>
                </c:pt>
                <c:pt idx="5">
                  <c:v>380.822212765957</c:v>
                </c:pt>
                <c:pt idx="6">
                  <c:v>382.126893617021</c:v>
                </c:pt>
                <c:pt idx="7">
                  <c:v>319.173702127659</c:v>
                </c:pt>
                <c:pt idx="8">
                  <c:v>154.116680851064</c:v>
                </c:pt>
                <c:pt idx="9">
                  <c:v>65.0860425531915</c:v>
                </c:pt>
                <c:pt idx="10">
                  <c:v>10.2775319148936</c:v>
                </c:pt>
                <c:pt idx="11">
                  <c:v>10.2775319148936</c:v>
                </c:pt>
                <c:pt idx="12">
                  <c:v>10.2775319148936</c:v>
                </c:pt>
                <c:pt idx="13">
                  <c:v>10.2775319148936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Matrix Mult 800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4"/>
                <c:pt idx="0">
                  <c:v>624.875140186916</c:v>
                </c:pt>
                <c:pt idx="1">
                  <c:v>567.366728971963</c:v>
                </c:pt>
                <c:pt idx="2">
                  <c:v>499.07015576324</c:v>
                </c:pt>
                <c:pt idx="3">
                  <c:v>479.769221183801</c:v>
                </c:pt>
                <c:pt idx="4">
                  <c:v>425.569221183801</c:v>
                </c:pt>
                <c:pt idx="5">
                  <c:v>417.743052959502</c:v>
                </c:pt>
                <c:pt idx="6">
                  <c:v>414.06953271028</c:v>
                </c:pt>
                <c:pt idx="7">
                  <c:v>260.51937694704</c:v>
                </c:pt>
                <c:pt idx="8">
                  <c:v>42.1056697819315</c:v>
                </c:pt>
                <c:pt idx="9">
                  <c:v>40.5629906542056</c:v>
                </c:pt>
                <c:pt idx="10">
                  <c:v>40.2365109034268</c:v>
                </c:pt>
                <c:pt idx="11">
                  <c:v>39.9866666666667</c:v>
                </c:pt>
                <c:pt idx="12">
                  <c:v>38.7947663551402</c:v>
                </c:pt>
                <c:pt idx="13">
                  <c:v>36.0620560747664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Calc determinant 11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4"/>
                <c:pt idx="0">
                  <c:v>we do everything no cache</c:v>
                </c:pt>
                <c:pt idx="1">
                  <c:v>Cache direct mapped , 1 data 1 code</c:v>
                </c:pt>
                <c:pt idx="2">
                  <c:v>Cache direct mapped , 2 data 2 code</c:v>
                </c:pt>
                <c:pt idx="3">
                  <c:v>Cache direct mapped , 4 data 4 code</c:v>
                </c:pt>
                <c:pt idx="4">
                  <c:v>Cache direct mapped , 6 data 6 code</c:v>
                </c:pt>
                <c:pt idx="5">
                  <c:v>Cache direct mapped , 8 data 8 code</c:v>
                </c:pt>
                <c:pt idx="6">
                  <c:v>Cache direct mapped , 10 data 10 code</c:v>
                </c:pt>
                <c:pt idx="7">
                  <c:v>Cache 2 way assoc, 20 data 20 code</c:v>
                </c:pt>
                <c:pt idx="8">
                  <c:v>Cache 2 way assoc, 40 data 40 code</c:v>
                </c:pt>
                <c:pt idx="9">
                  <c:v>Cache 2 way assoc, 60 data 60 code</c:v>
                </c:pt>
                <c:pt idx="10">
                  <c:v>Cache 2 way assoc, 80 data 80 code</c:v>
                </c:pt>
                <c:pt idx="11">
                  <c:v>Cache 2 way assoc, 100 data 100 code</c:v>
                </c:pt>
                <c:pt idx="12">
                  <c:v>Cache 2 way assoc, 150 data 150 code</c:v>
                </c:pt>
                <c:pt idx="13">
                  <c:v>Cache 2 way assoc, 200 data 200 code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4"/>
                <c:pt idx="0">
                  <c:v>464.121137440758</c:v>
                </c:pt>
                <c:pt idx="1">
                  <c:v>362.611658767773</c:v>
                </c:pt>
                <c:pt idx="2">
                  <c:v>330.957156398104</c:v>
                </c:pt>
                <c:pt idx="3">
                  <c:v>306.837251184834</c:v>
                </c:pt>
                <c:pt idx="4">
                  <c:v>304.566161137441</c:v>
                </c:pt>
                <c:pt idx="5">
                  <c:v>281.178009478673</c:v>
                </c:pt>
                <c:pt idx="6">
                  <c:v>273.011184834123</c:v>
                </c:pt>
                <c:pt idx="7">
                  <c:v>225.945781990521</c:v>
                </c:pt>
                <c:pt idx="8">
                  <c:v>111.672322274882</c:v>
                </c:pt>
                <c:pt idx="9">
                  <c:v>87.6936492890995</c:v>
                </c:pt>
                <c:pt idx="10">
                  <c:v>76.6803791469194</c:v>
                </c:pt>
                <c:pt idx="11">
                  <c:v>61.8851184834123</c:v>
                </c:pt>
                <c:pt idx="12">
                  <c:v>18.0495734597156</c:v>
                </c:pt>
                <c:pt idx="13">
                  <c:v>13.3339336492891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81623960"/>
        <c:axId val="77889794"/>
      </c:lineChart>
      <c:catAx>
        <c:axId val="81623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configurations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7889794"/>
        <c:crosses val="autoZero"/>
        <c:auto val="1"/>
        <c:lblAlgn val="ctr"/>
        <c:lblOffset val="100"/>
      </c:catAx>
      <c:valAx>
        <c:axId val="7788979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1623960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Primes 150k baseline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076090715944"/>
          <c:y val="0.163974584704892"/>
          <c:w val="0.58693611344434"/>
          <c:h val="0.584551787491388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No MACs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 bytes</c:v>
                </c:pt>
                <c:pt idx="1">
                  <c:v>32 bytes</c:v>
                </c:pt>
                <c:pt idx="2">
                  <c:v>48 bytes</c:v>
                </c:pt>
                <c:pt idx="3">
                  <c:v>64 bytes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8.45740072202166</c:v>
                </c:pt>
                <c:pt idx="1">
                  <c:v>8.23169675090253</c:v>
                </c:pt>
                <c:pt idx="2">
                  <c:v>9.23675090252708</c:v>
                </c:pt>
                <c:pt idx="3">
                  <c:v>8.20187725631769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Ignoring MACs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 bytes</c:v>
                </c:pt>
                <c:pt idx="1">
                  <c:v>32 bytes</c:v>
                </c:pt>
                <c:pt idx="2">
                  <c:v>48 bytes</c:v>
                </c:pt>
                <c:pt idx="3">
                  <c:v>64 bytes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4"/>
                <c:pt idx="0">
                  <c:v>8.62490974729242</c:v>
                </c:pt>
                <c:pt idx="1">
                  <c:v>8.23624548736462</c:v>
                </c:pt>
                <c:pt idx="2">
                  <c:v>9.25162454873646</c:v>
                </c:pt>
                <c:pt idx="3">
                  <c:v>8.52447653429603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94527803"/>
        <c:axId val="42080053"/>
      </c:lineChart>
      <c:catAx>
        <c:axId val="945278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Useful bytes in block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2080053"/>
        <c:crosses val="autoZero"/>
        <c:auto val="1"/>
        <c:lblAlgn val="ctr"/>
        <c:lblOffset val="100"/>
      </c:catAx>
      <c:valAx>
        <c:axId val="42080053"/>
        <c:scaling>
          <c:orientation val="minMax"/>
          <c:max val="13"/>
          <c:min val="5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4527803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29827742520399"/>
          <c:y val="0.397673350681157"/>
        </c:manualLayout>
      </c:layout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Hanoi 28 baseline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076090715944"/>
          <c:y val="0.163974584704892"/>
          <c:w val="0.58693611344434"/>
          <c:h val="0.584551787491388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No MACs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 bytes</c:v>
                </c:pt>
                <c:pt idx="1">
                  <c:v>32 bytes</c:v>
                </c:pt>
                <c:pt idx="2">
                  <c:v>48 bytes</c:v>
                </c:pt>
                <c:pt idx="3">
                  <c:v>64 bytes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10.5888510638298</c:v>
                </c:pt>
                <c:pt idx="1">
                  <c:v>10.0129361702128</c:v>
                </c:pt>
                <c:pt idx="2">
                  <c:v>9.72025531914894</c:v>
                </c:pt>
                <c:pt idx="3">
                  <c:v>9.45123404255319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Ignoring MACs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 bytes</c:v>
                </c:pt>
                <c:pt idx="1">
                  <c:v>32 bytes</c:v>
                </c:pt>
                <c:pt idx="2">
                  <c:v>48 bytes</c:v>
                </c:pt>
                <c:pt idx="3">
                  <c:v>64 bytes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4"/>
                <c:pt idx="0">
                  <c:v>10.2775319148936</c:v>
                </c:pt>
                <c:pt idx="1">
                  <c:v>10.0771063829787</c:v>
                </c:pt>
                <c:pt idx="2">
                  <c:v>9.70723404255319</c:v>
                </c:pt>
                <c:pt idx="3">
                  <c:v>9.33753191489362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12997885"/>
        <c:axId val="11264526"/>
      </c:lineChart>
      <c:catAx>
        <c:axId val="12997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Useful bytes in block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1264526"/>
        <c:crosses val="autoZero"/>
        <c:auto val="1"/>
        <c:lblAlgn val="ctr"/>
        <c:lblOffset val="100"/>
      </c:catAx>
      <c:valAx>
        <c:axId val="11264526"/>
        <c:scaling>
          <c:orientation val="minMax"/>
          <c:max val="13"/>
          <c:min val="5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2997885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29827742520399"/>
          <c:y val="0.397673350681157"/>
        </c:manualLayout>
      </c:layout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Matrix Mult 800 baseline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076090715944"/>
          <c:y val="0.163974584704892"/>
          <c:w val="0.58693611344434"/>
          <c:h val="0.584551787491388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No MACs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 bytes</c:v>
                </c:pt>
                <c:pt idx="1">
                  <c:v>32 bytes</c:v>
                </c:pt>
                <c:pt idx="2">
                  <c:v>48 bytes</c:v>
                </c:pt>
                <c:pt idx="3">
                  <c:v>64 bytes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20.7119003115265</c:v>
                </c:pt>
                <c:pt idx="1">
                  <c:v>17.2416822429907</c:v>
                </c:pt>
                <c:pt idx="2">
                  <c:v>19.0358255451713</c:v>
                </c:pt>
                <c:pt idx="3">
                  <c:v>16.487476635514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Ignoring MACs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 bytes</c:v>
                </c:pt>
                <c:pt idx="1">
                  <c:v>32 bytes</c:v>
                </c:pt>
                <c:pt idx="2">
                  <c:v>48 bytes</c:v>
                </c:pt>
                <c:pt idx="3">
                  <c:v>64 bytes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4"/>
                <c:pt idx="0">
                  <c:v>21.0458566978193</c:v>
                </c:pt>
                <c:pt idx="1">
                  <c:v>18.1752647975078</c:v>
                </c:pt>
                <c:pt idx="2">
                  <c:v>19.4201869158878</c:v>
                </c:pt>
                <c:pt idx="3">
                  <c:v>17.3884735202492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66228462"/>
        <c:axId val="20581234"/>
      </c:lineChart>
      <c:catAx>
        <c:axId val="66228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Useful bytes in block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0581234"/>
        <c:crosses val="autoZero"/>
        <c:auto val="1"/>
        <c:lblAlgn val="ctr"/>
        <c:lblOffset val="100"/>
      </c:catAx>
      <c:valAx>
        <c:axId val="20581234"/>
        <c:scaling>
          <c:orientation val="minMax"/>
          <c:max val="27"/>
          <c:min val="1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6228462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29827742520399"/>
          <c:y val="0.397673350681157"/>
        </c:manualLayout>
      </c:layout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5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Calc determinant 11 baseline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076090715944"/>
          <c:y val="0.163974584704892"/>
          <c:w val="0.58693611344434"/>
          <c:h val="0.584551787491388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No MACs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 bytes</c:v>
                </c:pt>
                <c:pt idx="1">
                  <c:v>32 bytes</c:v>
                </c:pt>
                <c:pt idx="2">
                  <c:v>48 bytes</c:v>
                </c:pt>
                <c:pt idx="3">
                  <c:v>64 bytes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13.664028436019</c:v>
                </c:pt>
                <c:pt idx="1">
                  <c:v>12.1372037914692</c:v>
                </c:pt>
                <c:pt idx="2">
                  <c:v>13.918672985782</c:v>
                </c:pt>
                <c:pt idx="3">
                  <c:v>12.144691943128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Ignoring MACs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4"/>
                <c:pt idx="0">
                  <c:v>16 bytes</c:v>
                </c:pt>
                <c:pt idx="1">
                  <c:v>32 bytes</c:v>
                </c:pt>
                <c:pt idx="2">
                  <c:v>48 bytes</c:v>
                </c:pt>
                <c:pt idx="3">
                  <c:v>64 bytes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4"/>
                <c:pt idx="0">
                  <c:v>13.3301421800948</c:v>
                </c:pt>
                <c:pt idx="1">
                  <c:v>12.8892890995261</c:v>
                </c:pt>
                <c:pt idx="2">
                  <c:v>14.0683412322275</c:v>
                </c:pt>
                <c:pt idx="3">
                  <c:v>12.6387677725119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84372192"/>
        <c:axId val="37264230"/>
      </c:lineChart>
      <c:catAx>
        <c:axId val="84372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Useful bytes in block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7264230"/>
        <c:crosses val="autoZero"/>
        <c:auto val="1"/>
        <c:lblAlgn val="ctr"/>
        <c:lblOffset val="100"/>
      </c:catAx>
      <c:valAx>
        <c:axId val="37264230"/>
        <c:scaling>
          <c:orientation val="minMax"/>
          <c:max val="18"/>
          <c:min val="6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4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2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4372192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29827742520399"/>
          <c:y val="0.397673350681157"/>
        </c:manualLayout>
      </c:layout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6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Dijkstra 1400 nodes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5836314847943"/>
          <c:y val="0.148825710754017"/>
          <c:w val="0.588271466905188"/>
          <c:h val="0.402389781623403"/>
        </c:manualLayout>
      </c:layout>
      <c:lineChart>
        <c:grouping val="standard"/>
        <c:ser>
          <c:idx val="0"/>
          <c:order val="0"/>
          <c:tx>
            <c:strRef>
              <c:f>label 0</c:f>
              <c:strCache>
                <c:ptCount val="1"/>
                <c:pt idx="0">
                  <c:v>16 bytes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3"/>
                <c:pt idx="0">
                  <c:v>Cache direct mapped , 1 data 1 code</c:v>
                </c:pt>
                <c:pt idx="1">
                  <c:v>Cache direct mapped , 2 data 2 code</c:v>
                </c:pt>
                <c:pt idx="2">
                  <c:v>Cache direct mapped , 4 data 4 code</c:v>
                </c:pt>
                <c:pt idx="3">
                  <c:v>Cache direct mapped , 6 data 6 code</c:v>
                </c:pt>
                <c:pt idx="4">
                  <c:v>Cache direct mapped , 8 data 8 code</c:v>
                </c:pt>
                <c:pt idx="5">
                  <c:v>Cache direct mapped , 10 data 10 code</c:v>
                </c:pt>
                <c:pt idx="6">
                  <c:v>Cache 2 way assoc, 20 data 20 code</c:v>
                </c:pt>
                <c:pt idx="7">
                  <c:v>Cache 2 way assoc, 40 data 40 code</c:v>
                </c:pt>
                <c:pt idx="8">
                  <c:v>Cache 2 way assoc, 60 data 60 code</c:v>
                </c:pt>
                <c:pt idx="9">
                  <c:v>Cache 2 way assoc, 80 data 80 code</c:v>
                </c:pt>
                <c:pt idx="10">
                  <c:v>Cache 2 way assoc, 100 data 100 code</c:v>
                </c:pt>
                <c:pt idx="11">
                  <c:v>Cache 2 way assoc, 150 data 150 code</c:v>
                </c:pt>
                <c:pt idx="12">
                  <c:v>Cache 2 way assoc, 200 data 200 code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3"/>
                <c:pt idx="0">
                  <c:v>342.927142857143</c:v>
                </c:pt>
                <c:pt idx="1">
                  <c:v>331.975442176871</c:v>
                </c:pt>
                <c:pt idx="2">
                  <c:v>312.822380952381</c:v>
                </c:pt>
                <c:pt idx="3">
                  <c:v>314.551632653061</c:v>
                </c:pt>
                <c:pt idx="4">
                  <c:v>299.350272108844</c:v>
                </c:pt>
                <c:pt idx="5">
                  <c:v>294.624421768708</c:v>
                </c:pt>
                <c:pt idx="6">
                  <c:v>268.970680272109</c:v>
                </c:pt>
                <c:pt idx="7">
                  <c:v>223.932585034014</c:v>
                </c:pt>
                <c:pt idx="8">
                  <c:v>216.308095238095</c:v>
                </c:pt>
                <c:pt idx="9">
                  <c:v>212.748911564626</c:v>
                </c:pt>
                <c:pt idx="10">
                  <c:v>207.400612244898</c:v>
                </c:pt>
                <c:pt idx="11">
                  <c:v>153.285646258503</c:v>
                </c:pt>
                <c:pt idx="12">
                  <c:v>109.565238095238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32 bytes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3"/>
                <c:pt idx="0">
                  <c:v>Cache direct mapped , 1 data 1 code</c:v>
                </c:pt>
                <c:pt idx="1">
                  <c:v>Cache direct mapped , 2 data 2 code</c:v>
                </c:pt>
                <c:pt idx="2">
                  <c:v>Cache direct mapped , 4 data 4 code</c:v>
                </c:pt>
                <c:pt idx="3">
                  <c:v>Cache direct mapped , 6 data 6 code</c:v>
                </c:pt>
                <c:pt idx="4">
                  <c:v>Cache direct mapped , 8 data 8 code</c:v>
                </c:pt>
                <c:pt idx="5">
                  <c:v>Cache direct mapped , 10 data 10 code</c:v>
                </c:pt>
                <c:pt idx="6">
                  <c:v>Cache 2 way assoc, 20 data 20 code</c:v>
                </c:pt>
                <c:pt idx="7">
                  <c:v>Cache 2 way assoc, 40 data 40 code</c:v>
                </c:pt>
                <c:pt idx="8">
                  <c:v>Cache 2 way assoc, 60 data 60 code</c:v>
                </c:pt>
                <c:pt idx="9">
                  <c:v>Cache 2 way assoc, 80 data 80 code</c:v>
                </c:pt>
                <c:pt idx="10">
                  <c:v>Cache 2 way assoc, 100 data 100 code</c:v>
                </c:pt>
                <c:pt idx="11">
                  <c:v>Cache 2 way assoc, 150 data 150 code</c:v>
                </c:pt>
                <c:pt idx="12">
                  <c:v>Cache 2 way assoc, 200 data 200 code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3"/>
                <c:pt idx="0">
                  <c:v>282.629795918367</c:v>
                </c:pt>
                <c:pt idx="1">
                  <c:v>267.964489795918</c:v>
                </c:pt>
                <c:pt idx="2">
                  <c:v>242.314149659864</c:v>
                </c:pt>
                <c:pt idx="3">
                  <c:v>241.521632653061</c:v>
                </c:pt>
                <c:pt idx="4">
                  <c:v>217.717551020408</c:v>
                </c:pt>
                <c:pt idx="5">
                  <c:v>210.926394557823</c:v>
                </c:pt>
                <c:pt idx="6">
                  <c:v>171.213469387755</c:v>
                </c:pt>
                <c:pt idx="7">
                  <c:v>154.518231292517</c:v>
                </c:pt>
                <c:pt idx="8">
                  <c:v>133.847482993197</c:v>
                </c:pt>
                <c:pt idx="9">
                  <c:v>101.927755102041</c:v>
                </c:pt>
                <c:pt idx="10">
                  <c:v>82.4297959183673</c:v>
                </c:pt>
                <c:pt idx="11">
                  <c:v>61.9019047619048</c:v>
                </c:pt>
                <c:pt idx="12">
                  <c:v>41.0821768707483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48 bytes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3"/>
                <c:pt idx="0">
                  <c:v>Cache direct mapped , 1 data 1 code</c:v>
                </c:pt>
                <c:pt idx="1">
                  <c:v>Cache direct mapped , 2 data 2 code</c:v>
                </c:pt>
                <c:pt idx="2">
                  <c:v>Cache direct mapped , 4 data 4 code</c:v>
                </c:pt>
                <c:pt idx="3">
                  <c:v>Cache direct mapped , 6 data 6 code</c:v>
                </c:pt>
                <c:pt idx="4">
                  <c:v>Cache direct mapped , 8 data 8 code</c:v>
                </c:pt>
                <c:pt idx="5">
                  <c:v>Cache direct mapped , 10 data 10 code</c:v>
                </c:pt>
                <c:pt idx="6">
                  <c:v>Cache 2 way assoc, 20 data 20 code</c:v>
                </c:pt>
                <c:pt idx="7">
                  <c:v>Cache 2 way assoc, 40 data 40 code</c:v>
                </c:pt>
                <c:pt idx="8">
                  <c:v>Cache 2 way assoc, 60 data 60 code</c:v>
                </c:pt>
                <c:pt idx="9">
                  <c:v>Cache 2 way assoc, 80 data 80 code</c:v>
                </c:pt>
                <c:pt idx="10">
                  <c:v>Cache 2 way assoc, 100 data 100 code</c:v>
                </c:pt>
                <c:pt idx="11">
                  <c:v>Cache 2 way assoc, 150 data 150 code</c:v>
                </c:pt>
                <c:pt idx="12">
                  <c:v>Cache 2 way assoc, 200 data 200 code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3"/>
                <c:pt idx="0">
                  <c:v>290.734829931973</c:v>
                </c:pt>
                <c:pt idx="1">
                  <c:v>272.214421768708</c:v>
                </c:pt>
                <c:pt idx="2">
                  <c:v>238.17156462585</c:v>
                </c:pt>
                <c:pt idx="3">
                  <c:v>235.868163265306</c:v>
                </c:pt>
                <c:pt idx="4">
                  <c:v>206.642993197279</c:v>
                </c:pt>
                <c:pt idx="5">
                  <c:v>186.972925170068</c:v>
                </c:pt>
                <c:pt idx="6">
                  <c:v>157.398775510204</c:v>
                </c:pt>
                <c:pt idx="7">
                  <c:v>126.83074829932</c:v>
                </c:pt>
                <c:pt idx="8">
                  <c:v>95.2613605442177</c:v>
                </c:pt>
                <c:pt idx="9">
                  <c:v>73.2531972789116</c:v>
                </c:pt>
                <c:pt idx="10">
                  <c:v>57.094693877551</c:v>
                </c:pt>
                <c:pt idx="11">
                  <c:v>47.4797278911565</c:v>
                </c:pt>
                <c:pt idx="12">
                  <c:v>35.5763265306122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64 bytes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3"/>
                <c:pt idx="0">
                  <c:v>Cache direct mapped , 1 data 1 code</c:v>
                </c:pt>
                <c:pt idx="1">
                  <c:v>Cache direct mapped , 2 data 2 code</c:v>
                </c:pt>
                <c:pt idx="2">
                  <c:v>Cache direct mapped , 4 data 4 code</c:v>
                </c:pt>
                <c:pt idx="3">
                  <c:v>Cache direct mapped , 6 data 6 code</c:v>
                </c:pt>
                <c:pt idx="4">
                  <c:v>Cache direct mapped , 8 data 8 code</c:v>
                </c:pt>
                <c:pt idx="5">
                  <c:v>Cache direct mapped , 10 data 10 code</c:v>
                </c:pt>
                <c:pt idx="6">
                  <c:v>Cache 2 way assoc, 20 data 20 code</c:v>
                </c:pt>
                <c:pt idx="7">
                  <c:v>Cache 2 way assoc, 40 data 40 code</c:v>
                </c:pt>
                <c:pt idx="8">
                  <c:v>Cache 2 way assoc, 60 data 60 code</c:v>
                </c:pt>
                <c:pt idx="9">
                  <c:v>Cache 2 way assoc, 80 data 80 code</c:v>
                </c:pt>
                <c:pt idx="10">
                  <c:v>Cache 2 way assoc, 100 data 100 code</c:v>
                </c:pt>
                <c:pt idx="11">
                  <c:v>Cache 2 way assoc, 150 data 150 code</c:v>
                </c:pt>
                <c:pt idx="12">
                  <c:v>Cache 2 way assoc, 200 data 200 code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3"/>
                <c:pt idx="0">
                  <c:v>309.279387755102</c:v>
                </c:pt>
                <c:pt idx="1">
                  <c:v>286.531088435374</c:v>
                </c:pt>
                <c:pt idx="2">
                  <c:v>245.496394557823</c:v>
                </c:pt>
                <c:pt idx="3">
                  <c:v>242.194353741497</c:v>
                </c:pt>
                <c:pt idx="4">
                  <c:v>204.355578231293</c:v>
                </c:pt>
                <c:pt idx="5">
                  <c:v>197.448095238095</c:v>
                </c:pt>
                <c:pt idx="6">
                  <c:v>154.003197278912</c:v>
                </c:pt>
                <c:pt idx="7">
                  <c:v>109.458979591837</c:v>
                </c:pt>
                <c:pt idx="8">
                  <c:v>76.9195238095238</c:v>
                </c:pt>
                <c:pt idx="9">
                  <c:v>62.3555782312925</c:v>
                </c:pt>
                <c:pt idx="10">
                  <c:v>55.2208843537415</c:v>
                </c:pt>
                <c:pt idx="11">
                  <c:v>41.3596598639456</c:v>
                </c:pt>
                <c:pt idx="12">
                  <c:v>37.3140816326531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80 bytes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categories</c:f>
              <c:strCache>
                <c:ptCount val="13"/>
                <c:pt idx="0">
                  <c:v>Cache direct mapped , 1 data 1 code</c:v>
                </c:pt>
                <c:pt idx="1">
                  <c:v>Cache direct mapped , 2 data 2 code</c:v>
                </c:pt>
                <c:pt idx="2">
                  <c:v>Cache direct mapped , 4 data 4 code</c:v>
                </c:pt>
                <c:pt idx="3">
                  <c:v>Cache direct mapped , 6 data 6 code</c:v>
                </c:pt>
                <c:pt idx="4">
                  <c:v>Cache direct mapped , 8 data 8 code</c:v>
                </c:pt>
                <c:pt idx="5">
                  <c:v>Cache direct mapped , 10 data 10 code</c:v>
                </c:pt>
                <c:pt idx="6">
                  <c:v>Cache 2 way assoc, 20 data 20 code</c:v>
                </c:pt>
                <c:pt idx="7">
                  <c:v>Cache 2 way assoc, 40 data 40 code</c:v>
                </c:pt>
                <c:pt idx="8">
                  <c:v>Cache 2 way assoc, 60 data 60 code</c:v>
                </c:pt>
                <c:pt idx="9">
                  <c:v>Cache 2 way assoc, 80 data 80 code</c:v>
                </c:pt>
                <c:pt idx="10">
                  <c:v>Cache 2 way assoc, 100 data 100 code</c:v>
                </c:pt>
                <c:pt idx="11">
                  <c:v>Cache 2 way assoc, 150 data 150 code</c:v>
                </c:pt>
                <c:pt idx="12">
                  <c:v>Cache 2 way assoc, 200 data 200 code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13"/>
                <c:pt idx="0">
                  <c:v>343.821904761905</c:v>
                </c:pt>
                <c:pt idx="1">
                  <c:v>317.560680272109</c:v>
                </c:pt>
                <c:pt idx="2">
                  <c:v>263.958639455782</c:v>
                </c:pt>
                <c:pt idx="3">
                  <c:v>256.646394557823</c:v>
                </c:pt>
                <c:pt idx="4">
                  <c:v>224.493333333333</c:v>
                </c:pt>
                <c:pt idx="5">
                  <c:v>208.786530612245</c:v>
                </c:pt>
                <c:pt idx="6">
                  <c:v>169.081088435374</c:v>
                </c:pt>
                <c:pt idx="7">
                  <c:v>114.886530612245</c:v>
                </c:pt>
                <c:pt idx="8">
                  <c:v>86.4565986394558</c:v>
                </c:pt>
                <c:pt idx="9">
                  <c:v>72.3062585034014</c:v>
                </c:pt>
                <c:pt idx="10">
                  <c:v>65.0137414965986</c:v>
                </c:pt>
                <c:pt idx="11">
                  <c:v>53.3708843537415</c:v>
                </c:pt>
                <c:pt idx="12">
                  <c:v>52.9484353741497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3133300"/>
        <c:axId val="50268296"/>
      </c:lineChart>
      <c:catAx>
        <c:axId val="31333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Cache configurations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9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0268296"/>
        <c:crosses val="autoZero"/>
        <c:auto val="1"/>
        <c:lblAlgn val="ctr"/>
        <c:lblOffset val="100"/>
      </c:catAx>
      <c:valAx>
        <c:axId val="5026829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minorGridlines>
          <c:spPr>
            <a:ln>
              <a:solidFill>
                <a:srgbClr val="dddddd"/>
              </a:solidFill>
            </a:ln>
          </c:spPr>
        </c:minorGridlines>
        <c:title>
          <c:tx>
            <c:rich>
              <a:bodyPr rot="-5400000"/>
              <a:lstStyle/>
              <a:p>
                <a:pPr>
                  <a:def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1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Ratios</a:t>
                </a:r>
              </a:p>
            </c:rich>
          </c:tx>
          <c:layout>
            <c:manualLayout>
              <c:xMode val="edge"/>
              <c:yMode val="edge"/>
              <c:x val="0"/>
              <c:y val="-8.24062628759786E-00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13330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chart" Target="../charts/chart15.xml"/><Relationship Id="rId11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403200</xdr:colOff>
      <xdr:row>122</xdr:row>
      <xdr:rowOff>5760</xdr:rowOff>
    </xdr:from>
    <xdr:to>
      <xdr:col>4</xdr:col>
      <xdr:colOff>1362960</xdr:colOff>
      <xdr:row>142</xdr:row>
      <xdr:rowOff>77040</xdr:rowOff>
    </xdr:to>
    <xdr:graphicFrame>
      <xdr:nvGraphicFramePr>
        <xdr:cNvPr id="0" name=""/>
        <xdr:cNvGraphicFramePr/>
      </xdr:nvGraphicFramePr>
      <xdr:xfrm>
        <a:off x="4641480" y="20464560"/>
        <a:ext cx="5589000" cy="332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730440</xdr:colOff>
      <xdr:row>121</xdr:row>
      <xdr:rowOff>147600</xdr:rowOff>
    </xdr:from>
    <xdr:to>
      <xdr:col>7</xdr:col>
      <xdr:colOff>1433520</xdr:colOff>
      <xdr:row>148</xdr:row>
      <xdr:rowOff>31320</xdr:rowOff>
    </xdr:to>
    <xdr:graphicFrame>
      <xdr:nvGraphicFramePr>
        <xdr:cNvPr id="1" name=""/>
        <xdr:cNvGraphicFramePr/>
      </xdr:nvGraphicFramePr>
      <xdr:xfrm>
        <a:off x="11369520" y="20444040"/>
        <a:ext cx="6856560" cy="427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22320</xdr:colOff>
      <xdr:row>121</xdr:row>
      <xdr:rowOff>156600</xdr:rowOff>
    </xdr:from>
    <xdr:to>
      <xdr:col>10</xdr:col>
      <xdr:colOff>825480</xdr:colOff>
      <xdr:row>141</xdr:row>
      <xdr:rowOff>143640</xdr:rowOff>
    </xdr:to>
    <xdr:graphicFrame>
      <xdr:nvGraphicFramePr>
        <xdr:cNvPr id="2" name=""/>
        <xdr:cNvGraphicFramePr/>
      </xdr:nvGraphicFramePr>
      <xdr:xfrm>
        <a:off x="19157760" y="20453040"/>
        <a:ext cx="548964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30960</xdr:colOff>
      <xdr:row>121</xdr:row>
      <xdr:rowOff>156960</xdr:rowOff>
    </xdr:from>
    <xdr:to>
      <xdr:col>13</xdr:col>
      <xdr:colOff>2117160</xdr:colOff>
      <xdr:row>148</xdr:row>
      <xdr:rowOff>41040</xdr:rowOff>
    </xdr:to>
    <xdr:graphicFrame>
      <xdr:nvGraphicFramePr>
        <xdr:cNvPr id="3" name=""/>
        <xdr:cNvGraphicFramePr/>
      </xdr:nvGraphicFramePr>
      <xdr:xfrm>
        <a:off x="26196120" y="20453400"/>
        <a:ext cx="6858000" cy="427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826560</xdr:colOff>
      <xdr:row>146</xdr:row>
      <xdr:rowOff>12240</xdr:rowOff>
    </xdr:from>
    <xdr:to>
      <xdr:col>5</xdr:col>
      <xdr:colOff>1666080</xdr:colOff>
      <xdr:row>172</xdr:row>
      <xdr:rowOff>107280</xdr:rowOff>
    </xdr:to>
    <xdr:graphicFrame>
      <xdr:nvGraphicFramePr>
        <xdr:cNvPr id="4" name=""/>
        <xdr:cNvGraphicFramePr/>
      </xdr:nvGraphicFramePr>
      <xdr:xfrm>
        <a:off x="5064840" y="24372720"/>
        <a:ext cx="7240320" cy="432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962640</xdr:colOff>
      <xdr:row>82</xdr:row>
      <xdr:rowOff>33120</xdr:rowOff>
    </xdr:from>
    <xdr:to>
      <xdr:col>5</xdr:col>
      <xdr:colOff>1882800</xdr:colOff>
      <xdr:row>106</xdr:row>
      <xdr:rowOff>18720</xdr:rowOff>
    </xdr:to>
    <xdr:graphicFrame>
      <xdr:nvGraphicFramePr>
        <xdr:cNvPr id="5" name=""/>
        <xdr:cNvGraphicFramePr/>
      </xdr:nvGraphicFramePr>
      <xdr:xfrm>
        <a:off x="5200920" y="13985640"/>
        <a:ext cx="7320960" cy="388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676080</xdr:colOff>
      <xdr:row>82</xdr:row>
      <xdr:rowOff>98280</xdr:rowOff>
    </xdr:from>
    <xdr:to>
      <xdr:col>10</xdr:col>
      <xdr:colOff>946080</xdr:colOff>
      <xdr:row>106</xdr:row>
      <xdr:rowOff>83880</xdr:rowOff>
    </xdr:to>
    <xdr:graphicFrame>
      <xdr:nvGraphicFramePr>
        <xdr:cNvPr id="6" name=""/>
        <xdr:cNvGraphicFramePr/>
      </xdr:nvGraphicFramePr>
      <xdr:xfrm>
        <a:off x="16001640" y="14050800"/>
        <a:ext cx="7299360" cy="388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360</xdr:colOff>
      <xdr:row>111</xdr:row>
      <xdr:rowOff>-360</xdr:rowOff>
    </xdr:from>
    <xdr:to>
      <xdr:col>6</xdr:col>
      <xdr:colOff>1678320</xdr:colOff>
      <xdr:row>143</xdr:row>
      <xdr:rowOff>17640</xdr:rowOff>
    </xdr:to>
    <xdr:graphicFrame>
      <xdr:nvGraphicFramePr>
        <xdr:cNvPr id="7" name=""/>
        <xdr:cNvGraphicFramePr/>
      </xdr:nvGraphicFramePr>
      <xdr:xfrm>
        <a:off x="6553440" y="18666720"/>
        <a:ext cx="8107200" cy="52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249840</xdr:colOff>
      <xdr:row>111</xdr:row>
      <xdr:rowOff>0</xdr:rowOff>
    </xdr:from>
    <xdr:to>
      <xdr:col>10</xdr:col>
      <xdr:colOff>1302480</xdr:colOff>
      <xdr:row>143</xdr:row>
      <xdr:rowOff>18000</xdr:rowOff>
    </xdr:to>
    <xdr:graphicFrame>
      <xdr:nvGraphicFramePr>
        <xdr:cNvPr id="8" name=""/>
        <xdr:cNvGraphicFramePr/>
      </xdr:nvGraphicFramePr>
      <xdr:xfrm>
        <a:off x="15575400" y="18667080"/>
        <a:ext cx="8082000" cy="52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120600</xdr:colOff>
      <xdr:row>111</xdr:row>
      <xdr:rowOff>0</xdr:rowOff>
    </xdr:from>
    <xdr:to>
      <xdr:col>14</xdr:col>
      <xdr:colOff>303120</xdr:colOff>
      <xdr:row>143</xdr:row>
      <xdr:rowOff>18000</xdr:rowOff>
    </xdr:to>
    <xdr:graphicFrame>
      <xdr:nvGraphicFramePr>
        <xdr:cNvPr id="9" name=""/>
        <xdr:cNvGraphicFramePr/>
      </xdr:nvGraphicFramePr>
      <xdr:xfrm>
        <a:off x="24951960" y="18667080"/>
        <a:ext cx="8031240" cy="52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1696680</xdr:colOff>
      <xdr:row>111</xdr:row>
      <xdr:rowOff>0</xdr:rowOff>
    </xdr:from>
    <xdr:to>
      <xdr:col>18</xdr:col>
      <xdr:colOff>31320</xdr:colOff>
      <xdr:row>143</xdr:row>
      <xdr:rowOff>18000</xdr:rowOff>
    </xdr:to>
    <xdr:graphicFrame>
      <xdr:nvGraphicFramePr>
        <xdr:cNvPr id="10" name=""/>
        <xdr:cNvGraphicFramePr/>
      </xdr:nvGraphicFramePr>
      <xdr:xfrm>
        <a:off x="34376760" y="18667080"/>
        <a:ext cx="7954920" cy="52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261360</xdr:colOff>
      <xdr:row>148</xdr:row>
      <xdr:rowOff>43560</xdr:rowOff>
    </xdr:from>
    <xdr:to>
      <xdr:col>10</xdr:col>
      <xdr:colOff>517680</xdr:colOff>
      <xdr:row>177</xdr:row>
      <xdr:rowOff>31680</xdr:rowOff>
    </xdr:to>
    <xdr:graphicFrame>
      <xdr:nvGraphicFramePr>
        <xdr:cNvPr id="11" name=""/>
        <xdr:cNvGraphicFramePr/>
      </xdr:nvGraphicFramePr>
      <xdr:xfrm>
        <a:off x="15586920" y="24725160"/>
        <a:ext cx="7285680" cy="470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250560</xdr:colOff>
      <xdr:row>183</xdr:row>
      <xdr:rowOff>19800</xdr:rowOff>
    </xdr:from>
    <xdr:to>
      <xdr:col>10</xdr:col>
      <xdr:colOff>506880</xdr:colOff>
      <xdr:row>212</xdr:row>
      <xdr:rowOff>7920</xdr:rowOff>
    </xdr:to>
    <xdr:graphicFrame>
      <xdr:nvGraphicFramePr>
        <xdr:cNvPr id="12" name=""/>
        <xdr:cNvGraphicFramePr/>
      </xdr:nvGraphicFramePr>
      <xdr:xfrm>
        <a:off x="15576120" y="30391200"/>
        <a:ext cx="7285680" cy="470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250560</xdr:colOff>
      <xdr:row>218</xdr:row>
      <xdr:rowOff>18720</xdr:rowOff>
    </xdr:from>
    <xdr:to>
      <xdr:col>10</xdr:col>
      <xdr:colOff>506880</xdr:colOff>
      <xdr:row>247</xdr:row>
      <xdr:rowOff>6840</xdr:rowOff>
    </xdr:to>
    <xdr:graphicFrame>
      <xdr:nvGraphicFramePr>
        <xdr:cNvPr id="13" name=""/>
        <xdr:cNvGraphicFramePr/>
      </xdr:nvGraphicFramePr>
      <xdr:xfrm>
        <a:off x="15576120" y="36079560"/>
        <a:ext cx="7285680" cy="470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283320</xdr:colOff>
      <xdr:row>252</xdr:row>
      <xdr:rowOff>28440</xdr:rowOff>
    </xdr:from>
    <xdr:to>
      <xdr:col>10</xdr:col>
      <xdr:colOff>539640</xdr:colOff>
      <xdr:row>281</xdr:row>
      <xdr:rowOff>16560</xdr:rowOff>
    </xdr:to>
    <xdr:graphicFrame>
      <xdr:nvGraphicFramePr>
        <xdr:cNvPr id="14" name=""/>
        <xdr:cNvGraphicFramePr/>
      </xdr:nvGraphicFramePr>
      <xdr:xfrm>
        <a:off x="15608880" y="41616360"/>
        <a:ext cx="7285680" cy="470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</xdr:col>
      <xdr:colOff>216720</xdr:colOff>
      <xdr:row>144</xdr:row>
      <xdr:rowOff>160920</xdr:rowOff>
    </xdr:from>
    <xdr:to>
      <xdr:col>6</xdr:col>
      <xdr:colOff>226800</xdr:colOff>
      <xdr:row>171</xdr:row>
      <xdr:rowOff>140040</xdr:rowOff>
    </xdr:to>
    <xdr:graphicFrame>
      <xdr:nvGraphicFramePr>
        <xdr:cNvPr id="15" name=""/>
        <xdr:cNvGraphicFramePr/>
      </xdr:nvGraphicFramePr>
      <xdr:xfrm>
        <a:off x="6769800" y="24192360"/>
        <a:ext cx="6439320" cy="436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65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I115" activePane="bottomRight" state="frozen"/>
      <selection pane="topLeft" activeCell="A1" activeCellId="0" sqref="A1"/>
      <selection pane="topRight" activeCell="I1" activeCellId="0" sqref="I1"/>
      <selection pane="bottomLeft" activeCell="A115" activeCellId="0" sqref="A115"/>
      <selection pane="bottomRight" activeCell="L153" activeCellId="0" sqref="L153"/>
    </sheetView>
  </sheetViews>
  <sheetFormatPr defaultRowHeight="12.8"/>
  <cols>
    <col collapsed="false" hidden="false" max="1" min="1" style="1" width="32.8010204081633"/>
    <col collapsed="false" hidden="false" max="2" min="2" style="1" width="27.2704081632653"/>
    <col collapsed="false" hidden="false" max="4" min="3" style="1" width="32.8010204081633"/>
    <col collapsed="false" hidden="false" max="5" min="5" style="1" width="25.1071428571429"/>
    <col collapsed="false" hidden="false" max="7" min="6" style="1" width="43.6020408163265"/>
    <col collapsed="false" hidden="false" max="11" min="8" style="1" width="33.2091836734694"/>
    <col collapsed="false" hidden="false" max="12" min="12" style="1" width="35.0969387755102"/>
    <col collapsed="false" hidden="false" max="13" min="13" style="1" width="32.530612244898"/>
    <col collapsed="false" hidden="false" max="14" min="14" style="1" width="32.9387755102041"/>
    <col collapsed="false" hidden="false" max="16" min="15" style="1" width="32.6683673469388"/>
    <col collapsed="false" hidden="false" max="19" min="17" style="1" width="34.5561224489796"/>
    <col collapsed="false" hidden="false" max="24" min="20" style="1" width="33.2091836734694"/>
    <col collapsed="false" hidden="false" max="25" min="25" style="1" width="35.0969387755102"/>
    <col collapsed="false" hidden="false" max="1025" min="26" style="1" width="10.6632653061225"/>
  </cols>
  <sheetData>
    <row r="1" customFormat="false" ht="23.9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 t="s">
        <v>3</v>
      </c>
      <c r="F1" s="3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3"/>
      <c r="P1" s="3"/>
      <c r="Q1" s="3"/>
      <c r="R1" s="3"/>
      <c r="S1" s="3"/>
    </row>
    <row r="2" customFormat="false" ht="46.45" hidden="false" customHeight="false" outlineLevel="0" collapsed="false">
      <c r="A2" s="4" t="s">
        <v>12</v>
      </c>
      <c r="B2" s="1" t="s">
        <v>13</v>
      </c>
      <c r="C2" s="0"/>
      <c r="D2" s="5" t="s">
        <v>14</v>
      </c>
      <c r="E2" s="2" t="s">
        <v>15</v>
      </c>
      <c r="F2" s="5"/>
      <c r="G2" s="2" t="s">
        <v>16</v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</row>
    <row r="3" customFormat="false" ht="12.8" hidden="false" customHeight="false" outlineLevel="0" collapsed="false">
      <c r="A3" s="5"/>
      <c r="B3" s="0"/>
      <c r="C3" s="0"/>
      <c r="D3" s="5"/>
      <c r="E3" s="5"/>
      <c r="F3" s="5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</row>
    <row r="4" customFormat="false" ht="12.8" hidden="false" customHeight="false" outlineLevel="0" collapsed="false">
      <c r="A4" s="5" t="s">
        <v>17</v>
      </c>
      <c r="B4" s="1" t="n">
        <v>1.4</v>
      </c>
      <c r="C4" s="0"/>
      <c r="D4" s="5" t="n">
        <v>10.3671</v>
      </c>
      <c r="E4" s="5" t="n">
        <v>10.2405</v>
      </c>
      <c r="F4" s="5"/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0"/>
      <c r="P4" s="0"/>
      <c r="Q4" s="0"/>
      <c r="R4" s="0"/>
      <c r="S4" s="0"/>
    </row>
    <row r="5" customFormat="false" ht="12.8" hidden="false" customHeight="false" outlineLevel="0" collapsed="false">
      <c r="A5" s="5" t="s">
        <v>18</v>
      </c>
      <c r="B5" s="1" t="n">
        <v>1.4</v>
      </c>
      <c r="C5" s="0"/>
      <c r="D5" s="5" t="n">
        <v>9.51493</v>
      </c>
      <c r="E5" s="5" t="n">
        <v>9.8103</v>
      </c>
      <c r="F5" s="5"/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0"/>
      <c r="P5" s="0"/>
      <c r="Q5" s="0"/>
      <c r="R5" s="0"/>
      <c r="S5" s="0"/>
    </row>
    <row r="6" customFormat="false" ht="12.8" hidden="false" customHeight="false" outlineLevel="0" collapsed="false">
      <c r="A6" s="5" t="s">
        <v>19</v>
      </c>
      <c r="B6" s="1" t="n">
        <v>1.4</v>
      </c>
      <c r="C6" s="0"/>
      <c r="D6" s="5" t="n">
        <v>11.2376</v>
      </c>
      <c r="E6" s="5" t="n">
        <v>11.4265</v>
      </c>
      <c r="F6" s="5"/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0"/>
      <c r="P6" s="0"/>
      <c r="Q6" s="0"/>
      <c r="R6" s="0"/>
      <c r="S6" s="0"/>
    </row>
    <row r="7" customFormat="false" ht="12.8" hidden="false" customHeight="false" outlineLevel="0" collapsed="false">
      <c r="A7" s="5" t="s">
        <v>20</v>
      </c>
      <c r="B7" s="1" t="n">
        <v>1.4</v>
      </c>
      <c r="C7" s="0"/>
      <c r="D7" s="5" t="n">
        <v>9.44133</v>
      </c>
      <c r="E7" s="5" t="n">
        <v>10.0612</v>
      </c>
      <c r="F7" s="5"/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0"/>
      <c r="P7" s="0"/>
      <c r="Q7" s="0"/>
      <c r="R7" s="0"/>
      <c r="S7" s="0"/>
    </row>
    <row r="8" customFormat="false" ht="12.8" hidden="false" customHeight="false" outlineLevel="0" collapsed="false">
      <c r="A8" s="5"/>
      <c r="B8" s="0"/>
      <c r="C8" s="0"/>
      <c r="D8" s="5"/>
      <c r="E8" s="5"/>
      <c r="F8" s="5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 customFormat="false" ht="12.8" hidden="false" customHeight="false" outlineLevel="0" collapsed="false">
      <c r="A9" s="1" t="s">
        <v>21</v>
      </c>
      <c r="B9" s="1" t="n">
        <v>1.33</v>
      </c>
      <c r="C9" s="0"/>
      <c r="D9" s="5" t="n">
        <v>16.5041</v>
      </c>
      <c r="E9" s="5" t="n">
        <v>16.775</v>
      </c>
      <c r="F9" s="5"/>
      <c r="G9" s="1" t="n">
        <v>282.014</v>
      </c>
      <c r="H9" s="1" t="n">
        <v>258.405</v>
      </c>
      <c r="I9" s="1" t="n">
        <v>148.251</v>
      </c>
      <c r="J9" s="1" t="n">
        <v>110.372</v>
      </c>
      <c r="K9" s="1" t="n">
        <v>76.677</v>
      </c>
      <c r="L9" s="1" t="n">
        <v>60.677</v>
      </c>
      <c r="M9" s="1" t="n">
        <v>62.118</v>
      </c>
      <c r="N9" s="1" t="n">
        <v>31.162</v>
      </c>
      <c r="O9" s="0"/>
      <c r="P9" s="0"/>
      <c r="Q9" s="0"/>
      <c r="R9" s="0"/>
      <c r="S9" s="0"/>
    </row>
    <row r="10" customFormat="false" ht="12.8" hidden="false" customHeight="false" outlineLevel="0" collapsed="false">
      <c r="A10" s="1" t="s">
        <v>22</v>
      </c>
      <c r="B10" s="1" t="n">
        <v>1.33</v>
      </c>
      <c r="C10" s="0"/>
      <c r="D10" s="5" t="n">
        <v>14.0198</v>
      </c>
      <c r="E10" s="5" t="n">
        <v>14.1535</v>
      </c>
      <c r="F10" s="5"/>
      <c r="G10" s="1" t="n">
        <v>182.614</v>
      </c>
      <c r="H10" s="1" t="n">
        <v>79.551</v>
      </c>
      <c r="I10" s="1" t="n">
        <v>41.113</v>
      </c>
      <c r="J10" s="1" t="n">
        <v>32.132</v>
      </c>
      <c r="K10" s="1" t="n">
        <v>22.739</v>
      </c>
      <c r="L10" s="1" t="n">
        <v>21.58</v>
      </c>
      <c r="M10" s="1" t="n">
        <v>17.196</v>
      </c>
      <c r="N10" s="1" t="n">
        <v>15.169</v>
      </c>
      <c r="O10" s="0"/>
      <c r="P10" s="0"/>
      <c r="Q10" s="0"/>
      <c r="R10" s="0"/>
      <c r="S10" s="0"/>
    </row>
    <row r="11" customFormat="false" ht="12.8" hidden="false" customHeight="false" outlineLevel="0" collapsed="false">
      <c r="A11" s="1" t="s">
        <v>23</v>
      </c>
      <c r="B11" s="1" t="n">
        <v>1.33</v>
      </c>
      <c r="C11" s="0"/>
      <c r="D11" s="5" t="n">
        <v>15.5839</v>
      </c>
      <c r="E11" s="5" t="n">
        <v>15.5043</v>
      </c>
      <c r="F11" s="5"/>
      <c r="G11" s="1" t="n">
        <v>110.387</v>
      </c>
      <c r="H11" s="1" t="n">
        <v>53.165</v>
      </c>
      <c r="I11" s="1" t="n">
        <v>29.995</v>
      </c>
      <c r="J11" s="1" t="n">
        <v>27.282</v>
      </c>
      <c r="K11" s="1" t="n">
        <v>21.193</v>
      </c>
      <c r="L11" s="1" t="n">
        <v>17.254</v>
      </c>
      <c r="M11" s="1" t="n">
        <v>17.711</v>
      </c>
      <c r="N11" s="1" t="n">
        <v>16.005</v>
      </c>
      <c r="O11" s="0"/>
      <c r="P11" s="0"/>
      <c r="Q11" s="0"/>
      <c r="R11" s="0"/>
      <c r="S11" s="0"/>
    </row>
    <row r="12" customFormat="false" ht="12.8" hidden="false" customHeight="false" outlineLevel="0" collapsed="false">
      <c r="A12" s="1" t="s">
        <v>24</v>
      </c>
      <c r="B12" s="1" t="n">
        <v>1.33</v>
      </c>
      <c r="C12" s="0"/>
      <c r="D12" s="5" t="n">
        <v>13.28</v>
      </c>
      <c r="E12" s="5" t="n">
        <v>13.8811</v>
      </c>
      <c r="F12" s="5"/>
      <c r="G12" s="1" t="n">
        <v>87.78</v>
      </c>
      <c r="H12" s="1" t="n">
        <v>45.966</v>
      </c>
      <c r="I12" s="1" t="n">
        <v>32.738</v>
      </c>
      <c r="J12" s="1" t="n">
        <v>26.369</v>
      </c>
      <c r="K12" s="1" t="n">
        <v>28.122</v>
      </c>
      <c r="L12" s="1" t="n">
        <v>18.807</v>
      </c>
      <c r="M12" s="1" t="n">
        <v>22.377</v>
      </c>
      <c r="N12" s="1" t="n">
        <v>16.346</v>
      </c>
      <c r="O12" s="0"/>
      <c r="P12" s="0"/>
      <c r="Q12" s="0"/>
      <c r="R12" s="0"/>
      <c r="S12" s="0"/>
    </row>
    <row r="13" customFormat="false" ht="12.8" hidden="false" customHeight="false" outlineLevel="0" collapsed="false">
      <c r="A13" s="5"/>
      <c r="B13" s="0"/>
      <c r="C13" s="0"/>
      <c r="D13" s="5"/>
      <c r="E13" s="5"/>
      <c r="F13" s="5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customFormat="false" ht="12.8" hidden="false" customHeight="false" outlineLevel="0" collapsed="false">
      <c r="A14" s="1" t="s">
        <v>25</v>
      </c>
      <c r="B14" s="1" t="n">
        <v>1.37</v>
      </c>
      <c r="C14" s="0"/>
      <c r="D14" s="1" t="n">
        <v>30.4909</v>
      </c>
      <c r="E14" s="1" t="n">
        <v>30.2728</v>
      </c>
      <c r="F14" s="0"/>
      <c r="G14" s="1" t="n">
        <v>330.057</v>
      </c>
      <c r="H14" s="1" t="n">
        <v>308.466</v>
      </c>
      <c r="I14" s="1" t="n">
        <v>212.847</v>
      </c>
      <c r="J14" s="1" t="n">
        <v>168.246</v>
      </c>
      <c r="K14" s="1" t="n">
        <v>104.226</v>
      </c>
      <c r="L14" s="1" t="n">
        <v>85.702</v>
      </c>
      <c r="M14" s="1" t="n">
        <v>63.585</v>
      </c>
      <c r="N14" s="1" t="n">
        <v>53.69</v>
      </c>
      <c r="O14" s="0"/>
      <c r="P14" s="0"/>
      <c r="Q14" s="0"/>
      <c r="R14" s="0"/>
      <c r="S14" s="0"/>
    </row>
    <row r="15" customFormat="false" ht="12.8" hidden="false" customHeight="false" outlineLevel="0" collapsed="false">
      <c r="A15" s="1" t="s">
        <v>26</v>
      </c>
      <c r="B15" s="1" t="n">
        <v>1.37</v>
      </c>
      <c r="C15" s="0"/>
      <c r="D15" s="1" t="n">
        <v>27.6478</v>
      </c>
      <c r="E15" s="1" t="n">
        <v>28.2319</v>
      </c>
      <c r="F15" s="0"/>
      <c r="G15" s="1" t="n">
        <v>219.982</v>
      </c>
      <c r="H15" s="1" t="n">
        <v>126.283</v>
      </c>
      <c r="I15" s="1" t="n">
        <v>56.899</v>
      </c>
      <c r="J15" s="1" t="n">
        <v>39.878</v>
      </c>
      <c r="K15" s="1" t="n">
        <v>29.324</v>
      </c>
      <c r="L15" s="1" t="n">
        <v>20.919</v>
      </c>
      <c r="M15" s="1" t="n">
        <v>19.65</v>
      </c>
      <c r="N15" s="1" t="n">
        <v>15.73</v>
      </c>
      <c r="O15" s="0"/>
      <c r="P15" s="0"/>
      <c r="Q15" s="0"/>
      <c r="R15" s="0"/>
      <c r="S15" s="0"/>
    </row>
    <row r="16" customFormat="false" ht="12.8" hidden="false" customHeight="false" outlineLevel="0" collapsed="false">
      <c r="A16" s="1" t="s">
        <v>27</v>
      </c>
      <c r="B16" s="1" t="n">
        <v>1.37</v>
      </c>
      <c r="C16" s="0"/>
      <c r="D16" s="1" t="n">
        <v>29.6159</v>
      </c>
      <c r="E16" s="1" t="n">
        <v>29.5658</v>
      </c>
      <c r="F16" s="0"/>
      <c r="G16" s="1" t="n">
        <v>148.862</v>
      </c>
      <c r="H16" s="1" t="n">
        <v>69.334</v>
      </c>
      <c r="I16" s="1" t="n">
        <v>42.537</v>
      </c>
      <c r="J16" s="1" t="n">
        <v>31.165</v>
      </c>
      <c r="K16" s="1" t="n">
        <v>26.805</v>
      </c>
      <c r="L16" s="1" t="n">
        <v>22.432</v>
      </c>
      <c r="M16" s="1" t="n">
        <v>18.781</v>
      </c>
      <c r="N16" s="1" t="n">
        <v>16.508</v>
      </c>
      <c r="O16" s="0"/>
      <c r="P16" s="0"/>
      <c r="Q16" s="0"/>
      <c r="R16" s="0"/>
      <c r="S16" s="0"/>
    </row>
    <row r="17" customFormat="false" ht="12.8" hidden="false" customHeight="false" outlineLevel="0" collapsed="false">
      <c r="A17" s="1" t="s">
        <v>28</v>
      </c>
      <c r="B17" s="1" t="n">
        <v>1.37</v>
      </c>
      <c r="C17" s="0"/>
      <c r="D17" s="1" t="n">
        <v>27.3648</v>
      </c>
      <c r="E17" s="1" t="n">
        <v>28.0518</v>
      </c>
      <c r="F17" s="0"/>
      <c r="G17" s="1" t="n">
        <v>125.124</v>
      </c>
      <c r="H17" s="1" t="n">
        <v>58.602</v>
      </c>
      <c r="I17" s="1" t="n">
        <v>43.248</v>
      </c>
      <c r="J17" s="1" t="n">
        <v>29.768</v>
      </c>
      <c r="K17" s="1" t="n">
        <v>29.831</v>
      </c>
      <c r="L17" s="1" t="n">
        <v>25.479</v>
      </c>
      <c r="M17" s="1" t="n">
        <v>28.487</v>
      </c>
      <c r="N17" s="1" t="n">
        <v>16.951</v>
      </c>
      <c r="O17" s="0"/>
      <c r="P17" s="0"/>
      <c r="Q17" s="0"/>
      <c r="R17" s="0"/>
      <c r="S17" s="0"/>
    </row>
    <row r="18" customFormat="false" ht="12.8" hidden="false" customHeight="fals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 customFormat="false" ht="12.8" hidden="false" customHeight="false" outlineLevel="0" collapsed="false">
      <c r="A19" s="5" t="s">
        <v>29</v>
      </c>
      <c r="B19" s="1" t="n">
        <v>1.95</v>
      </c>
      <c r="C19" s="0"/>
      <c r="D19" s="1" t="n">
        <v>26.0355</v>
      </c>
      <c r="E19" s="1" t="n">
        <v>29.0539</v>
      </c>
      <c r="F19" s="0"/>
      <c r="G19" s="1" t="n">
        <v>34.068</v>
      </c>
      <c r="H19" s="1" t="n">
        <v>31.765</v>
      </c>
      <c r="I19" s="1" t="n">
        <v>29.658</v>
      </c>
      <c r="J19" s="1" t="n">
        <v>25.175</v>
      </c>
      <c r="K19" s="1" t="n">
        <v>24.944</v>
      </c>
      <c r="L19" s="1" t="n">
        <v>24.544</v>
      </c>
      <c r="M19" s="1" t="n">
        <v>24.507</v>
      </c>
      <c r="N19" s="1" t="n">
        <v>24.845</v>
      </c>
      <c r="O19" s="0"/>
      <c r="P19" s="0"/>
      <c r="Q19" s="0"/>
      <c r="R19" s="0"/>
      <c r="S19" s="0"/>
    </row>
    <row r="20" customFormat="false" ht="12.8" hidden="false" customHeight="false" outlineLevel="0" collapsed="false">
      <c r="A20" s="5" t="s">
        <v>30</v>
      </c>
      <c r="B20" s="1" t="n">
        <v>1.95</v>
      </c>
      <c r="C20" s="0"/>
      <c r="D20" s="1" t="n">
        <v>20.7853</v>
      </c>
      <c r="E20" s="1" t="n">
        <v>22.2172</v>
      </c>
      <c r="F20" s="0"/>
      <c r="G20" s="1" t="n">
        <v>39.257</v>
      </c>
      <c r="H20" s="1" t="n">
        <v>33.463</v>
      </c>
      <c r="I20" s="1" t="n">
        <v>32.429</v>
      </c>
      <c r="J20" s="1" t="n">
        <v>31.741</v>
      </c>
      <c r="K20" s="1" t="n">
        <v>31.629</v>
      </c>
      <c r="L20" s="1" t="n">
        <v>31.43</v>
      </c>
      <c r="M20" s="1" t="n">
        <v>31.352</v>
      </c>
      <c r="N20" s="1" t="n">
        <v>31.209</v>
      </c>
      <c r="O20" s="0"/>
      <c r="P20" s="0"/>
      <c r="Q20" s="0"/>
      <c r="R20" s="0"/>
      <c r="S20" s="0"/>
    </row>
    <row r="21" customFormat="false" ht="12.8" hidden="false" customHeight="false" outlineLevel="0" collapsed="false">
      <c r="A21" s="5" t="s">
        <v>31</v>
      </c>
      <c r="B21" s="1" t="n">
        <v>1.95</v>
      </c>
      <c r="C21" s="0"/>
      <c r="D21" s="1" t="n">
        <v>25.3543</v>
      </c>
      <c r="E21" s="1" t="n">
        <v>25.4969</v>
      </c>
      <c r="F21" s="0"/>
      <c r="G21" s="1" t="n">
        <v>59.033</v>
      </c>
      <c r="H21" s="1" t="n">
        <v>41.174</v>
      </c>
      <c r="I21" s="1" t="n">
        <v>40.109</v>
      </c>
      <c r="J21" s="1" t="n">
        <v>39.462</v>
      </c>
      <c r="K21" s="1" t="n">
        <v>39.385</v>
      </c>
      <c r="L21" s="1" t="n">
        <v>39.057</v>
      </c>
      <c r="M21" s="1" t="n">
        <v>39.112</v>
      </c>
      <c r="N21" s="1" t="n">
        <v>38.752</v>
      </c>
      <c r="O21" s="0"/>
      <c r="P21" s="0"/>
      <c r="Q21" s="0"/>
      <c r="R21" s="0"/>
      <c r="S21" s="0"/>
    </row>
    <row r="22" customFormat="false" ht="12.8" hidden="false" customHeight="false" outlineLevel="0" collapsed="false">
      <c r="A22" s="5" t="s">
        <v>32</v>
      </c>
      <c r="B22" s="1" t="n">
        <v>1.95</v>
      </c>
      <c r="C22" s="0"/>
      <c r="D22" s="1" t="n">
        <v>20.3479</v>
      </c>
      <c r="E22" s="1" t="n">
        <v>21.7534</v>
      </c>
      <c r="F22" s="0"/>
      <c r="G22" s="1" t="n">
        <v>52.973</v>
      </c>
      <c r="H22" s="1" t="n">
        <v>48.69</v>
      </c>
      <c r="I22" s="1" t="n">
        <v>47.639</v>
      </c>
      <c r="J22" s="1" t="n">
        <v>47.068</v>
      </c>
      <c r="K22" s="1" t="n">
        <v>46.765</v>
      </c>
      <c r="L22" s="1" t="n">
        <v>46.517</v>
      </c>
      <c r="M22" s="1" t="n">
        <v>46.445</v>
      </c>
      <c r="N22" s="1" t="n">
        <v>46.267</v>
      </c>
      <c r="O22" s="0"/>
      <c r="P22" s="0"/>
      <c r="Q22" s="0"/>
      <c r="R22" s="0"/>
      <c r="S22" s="0"/>
    </row>
    <row r="23" customFormat="false" ht="12.8" hidden="false" customHeight="fals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</row>
    <row r="24" customFormat="false" ht="12.8" hidden="false" customHeight="false" outlineLevel="0" collapsed="false">
      <c r="A24" s="1" t="s">
        <v>33</v>
      </c>
      <c r="B24" s="1" t="n">
        <v>1.94</v>
      </c>
      <c r="C24" s="0"/>
      <c r="D24" s="1" t="n">
        <v>36.7368</v>
      </c>
      <c r="E24" s="1" t="n">
        <v>36.8085</v>
      </c>
      <c r="F24" s="0"/>
      <c r="G24" s="1" t="n">
        <v>247.221</v>
      </c>
      <c r="H24" s="1" t="n">
        <v>162.098</v>
      </c>
      <c r="I24" s="1" t="n">
        <v>107.202</v>
      </c>
      <c r="J24" s="1" t="n">
        <v>43.826</v>
      </c>
      <c r="K24" s="1" t="n">
        <v>0.163</v>
      </c>
      <c r="L24" s="1" t="n">
        <v>35.079</v>
      </c>
      <c r="M24" s="1" t="n">
        <v>5.476</v>
      </c>
      <c r="N24" s="1" t="n">
        <v>0.002</v>
      </c>
      <c r="O24" s="0"/>
      <c r="P24" s="0"/>
      <c r="Q24" s="0"/>
      <c r="R24" s="0"/>
      <c r="S24" s="0"/>
    </row>
    <row r="25" customFormat="false" ht="12.8" hidden="false" customHeight="false" outlineLevel="0" collapsed="false">
      <c r="A25" s="1" t="s">
        <v>34</v>
      </c>
      <c r="B25" s="1" t="n">
        <v>1.94</v>
      </c>
      <c r="C25" s="0"/>
      <c r="D25" s="1" t="n">
        <v>31.719</v>
      </c>
      <c r="E25" s="1" t="n">
        <v>32.5976</v>
      </c>
      <c r="F25" s="0"/>
      <c r="G25" s="1" t="n">
        <v>105.808</v>
      </c>
      <c r="H25" s="1" t="n">
        <v>28.489</v>
      </c>
      <c r="I25" s="1" t="n">
        <v>0.041</v>
      </c>
      <c r="J25" s="1" t="n">
        <v>0.905</v>
      </c>
      <c r="K25" s="1" t="n">
        <v>0</v>
      </c>
      <c r="L25" s="1" t="n">
        <v>0</v>
      </c>
      <c r="M25" s="1" t="n">
        <v>0.001</v>
      </c>
      <c r="N25" s="1" t="n">
        <v>0</v>
      </c>
      <c r="O25" s="0"/>
      <c r="P25" s="0"/>
      <c r="Q25" s="0"/>
      <c r="R25" s="0"/>
      <c r="S25" s="0"/>
    </row>
    <row r="26" customFormat="false" ht="12.8" hidden="false" customHeight="false" outlineLevel="0" collapsed="false">
      <c r="A26" s="1" t="s">
        <v>35</v>
      </c>
      <c r="B26" s="1" t="n">
        <v>1.94</v>
      </c>
      <c r="C26" s="0"/>
      <c r="D26" s="1" t="n">
        <v>34.3761</v>
      </c>
      <c r="E26" s="1" t="n">
        <v>34.8611</v>
      </c>
      <c r="F26" s="0"/>
      <c r="G26" s="1" t="n">
        <v>60.67</v>
      </c>
      <c r="H26" s="1" t="n">
        <v>9.091</v>
      </c>
      <c r="I26" s="1" t="n">
        <v>5.095</v>
      </c>
      <c r="J26" s="1" t="n">
        <v>0.004</v>
      </c>
      <c r="K26" s="1" t="n">
        <v>0.154</v>
      </c>
      <c r="L26" s="1" t="n">
        <v>0</v>
      </c>
      <c r="M26" s="1" t="n">
        <v>0</v>
      </c>
      <c r="N26" s="1" t="n">
        <v>0.004</v>
      </c>
      <c r="O26" s="0"/>
      <c r="P26" s="0"/>
      <c r="Q26" s="0"/>
      <c r="R26" s="0"/>
      <c r="S26" s="0"/>
    </row>
    <row r="27" customFormat="false" ht="12.8" hidden="false" customHeight="false" outlineLevel="0" collapsed="false">
      <c r="A27" s="1" t="s">
        <v>36</v>
      </c>
      <c r="B27" s="1" t="n">
        <v>1.94</v>
      </c>
      <c r="C27" s="0"/>
      <c r="D27" s="1" t="n">
        <v>31.3238</v>
      </c>
      <c r="E27" s="1" t="n">
        <v>31.8109</v>
      </c>
      <c r="F27" s="0"/>
      <c r="G27" s="1" t="n">
        <v>30.306</v>
      </c>
      <c r="H27" s="1" t="n">
        <v>14.747</v>
      </c>
      <c r="I27" s="1" t="n">
        <v>0.006</v>
      </c>
      <c r="J27" s="1" t="n">
        <v>0.371</v>
      </c>
      <c r="K27" s="1" t="n">
        <v>0</v>
      </c>
      <c r="L27" s="1" t="n">
        <v>0.006</v>
      </c>
      <c r="M27" s="1" t="n">
        <v>0</v>
      </c>
      <c r="N27" s="1" t="n">
        <v>0</v>
      </c>
      <c r="O27" s="0"/>
      <c r="P27" s="0"/>
      <c r="Q27" s="0"/>
      <c r="R27" s="0"/>
      <c r="S27" s="0"/>
    </row>
    <row r="28" customFormat="false" ht="12.8" hidden="false" customHeight="fals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</row>
    <row r="29" customFormat="false" ht="12.8" hidden="false" customHeight="false" outlineLevel="0" collapsed="false">
      <c r="A29" s="1" t="s">
        <v>37</v>
      </c>
      <c r="B29" s="1" t="n">
        <v>1.91</v>
      </c>
      <c r="C29" s="0"/>
      <c r="D29" s="1" t="n">
        <v>27.7892</v>
      </c>
      <c r="E29" s="1" t="n">
        <v>27.0715</v>
      </c>
      <c r="F29" s="0"/>
      <c r="G29" s="1" t="n">
        <v>205.915</v>
      </c>
      <c r="H29" s="1" t="n">
        <v>125.118</v>
      </c>
      <c r="I29" s="1" t="n">
        <v>63.701</v>
      </c>
      <c r="J29" s="1" t="n">
        <v>1.843</v>
      </c>
      <c r="K29" s="1" t="n">
        <v>0.931</v>
      </c>
      <c r="L29" s="1" t="n">
        <v>0.002</v>
      </c>
      <c r="M29" s="1" t="n">
        <v>6.202</v>
      </c>
      <c r="N29" s="1" t="n">
        <v>0.002</v>
      </c>
      <c r="O29" s="0"/>
      <c r="P29" s="0"/>
      <c r="Q29" s="0"/>
      <c r="R29" s="0"/>
      <c r="S29" s="0"/>
    </row>
    <row r="30" customFormat="false" ht="12.8" hidden="false" customHeight="false" outlineLevel="0" collapsed="false">
      <c r="A30" s="1" t="s">
        <v>38</v>
      </c>
      <c r="B30" s="1" t="n">
        <v>1.91</v>
      </c>
      <c r="C30" s="0"/>
      <c r="D30" s="1" t="n">
        <v>22.5417</v>
      </c>
      <c r="E30" s="1" t="n">
        <v>23.4656</v>
      </c>
      <c r="F30" s="0"/>
      <c r="G30" s="1" t="n">
        <v>79.24</v>
      </c>
      <c r="H30" s="1" t="n">
        <v>3.062</v>
      </c>
      <c r="I30" s="1" t="n">
        <v>1.19</v>
      </c>
      <c r="J30" s="1" t="n">
        <v>0.673</v>
      </c>
      <c r="K30" s="1" t="n">
        <v>0</v>
      </c>
      <c r="L30" s="1" t="n">
        <v>0</v>
      </c>
      <c r="M30" s="1" t="n">
        <v>0.008</v>
      </c>
      <c r="N30" s="1" t="n">
        <v>0.02</v>
      </c>
      <c r="O30" s="0"/>
      <c r="P30" s="0"/>
      <c r="Q30" s="0"/>
      <c r="R30" s="0"/>
      <c r="S30" s="0"/>
    </row>
    <row r="31" customFormat="false" ht="12.8" hidden="false" customHeight="false" outlineLevel="0" collapsed="false">
      <c r="A31" s="1" t="s">
        <v>39</v>
      </c>
      <c r="B31" s="1" t="n">
        <v>1.91</v>
      </c>
      <c r="C31" s="0"/>
      <c r="D31" s="1" t="n">
        <v>25.2227</v>
      </c>
      <c r="E31" s="1" t="n">
        <v>25.4656</v>
      </c>
      <c r="F31" s="0"/>
      <c r="G31" s="1" t="n">
        <v>20.908</v>
      </c>
      <c r="H31" s="1" t="n">
        <v>0.198</v>
      </c>
      <c r="I31" s="1" t="n">
        <v>0.002</v>
      </c>
      <c r="J31" s="1" t="n">
        <v>0.007</v>
      </c>
      <c r="K31" s="1" t="n">
        <v>0.208</v>
      </c>
      <c r="L31" s="1" t="n">
        <v>0</v>
      </c>
      <c r="M31" s="1" t="n">
        <v>0</v>
      </c>
      <c r="N31" s="1" t="n">
        <v>0.007</v>
      </c>
      <c r="O31" s="0"/>
      <c r="P31" s="0"/>
      <c r="Q31" s="0"/>
      <c r="R31" s="0"/>
      <c r="S31" s="0"/>
    </row>
    <row r="32" customFormat="false" ht="12.8" hidden="false" customHeight="false" outlineLevel="0" collapsed="false">
      <c r="A32" s="1" t="s">
        <v>40</v>
      </c>
      <c r="B32" s="1" t="n">
        <v>1.91</v>
      </c>
      <c r="C32" s="0"/>
      <c r="D32" s="1" t="n">
        <v>21.8578</v>
      </c>
      <c r="E32" s="1" t="n">
        <v>22.7195</v>
      </c>
      <c r="F32" s="0"/>
      <c r="G32" s="1" t="n">
        <v>15.08</v>
      </c>
      <c r="H32" s="1" t="n">
        <v>15.08</v>
      </c>
      <c r="I32" s="1" t="n">
        <v>0.016</v>
      </c>
      <c r="J32" s="1" t="n">
        <v>0.757</v>
      </c>
      <c r="K32" s="1" t="n">
        <v>0</v>
      </c>
      <c r="L32" s="1" t="n">
        <v>0.016</v>
      </c>
      <c r="M32" s="1" t="n">
        <v>0</v>
      </c>
      <c r="N32" s="1" t="n">
        <v>0</v>
      </c>
      <c r="O32" s="0"/>
      <c r="P32" s="0"/>
      <c r="Q32" s="0"/>
      <c r="R32" s="0"/>
      <c r="S32" s="0"/>
    </row>
    <row r="33" customFormat="false" ht="12.8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</row>
    <row r="34" customFormat="false" ht="12.8" hidden="false" customHeight="false" outlineLevel="0" collapsed="false">
      <c r="A34" s="5" t="s">
        <v>41</v>
      </c>
      <c r="B34" s="1" t="n">
        <v>1.92</v>
      </c>
      <c r="C34" s="0"/>
      <c r="D34" s="1" t="n">
        <v>8.8608</v>
      </c>
      <c r="E34" s="1" t="n">
        <v>8.83969</v>
      </c>
      <c r="F34" s="0"/>
      <c r="G34" s="1" t="n">
        <v>44.228</v>
      </c>
      <c r="H34" s="1" t="n">
        <v>16.608</v>
      </c>
      <c r="I34" s="1" t="n">
        <v>9.462</v>
      </c>
      <c r="J34" s="1" t="n">
        <v>0.579</v>
      </c>
      <c r="K34" s="1" t="n">
        <v>0</v>
      </c>
      <c r="L34" s="1" t="n">
        <v>0.579</v>
      </c>
      <c r="M34" s="1" t="n">
        <v>0</v>
      </c>
      <c r="N34" s="1" t="n">
        <v>0</v>
      </c>
      <c r="O34" s="0"/>
      <c r="P34" s="0"/>
      <c r="Q34" s="0"/>
      <c r="R34" s="0"/>
      <c r="S34" s="0"/>
    </row>
    <row r="35" customFormat="false" ht="12.8" hidden="false" customHeight="false" outlineLevel="0" collapsed="false">
      <c r="A35" s="5" t="s">
        <v>42</v>
      </c>
      <c r="B35" s="1" t="n">
        <v>1.92</v>
      </c>
      <c r="C35" s="0"/>
      <c r="D35" s="1" t="n">
        <v>8.52788</v>
      </c>
      <c r="E35" s="1" t="n">
        <v>8.64086</v>
      </c>
      <c r="F35" s="0"/>
      <c r="G35" s="1" t="n">
        <v>12.531</v>
      </c>
      <c r="H35" s="1" t="n">
        <v>3.004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0"/>
      <c r="P35" s="0"/>
      <c r="Q35" s="0"/>
      <c r="R35" s="0"/>
      <c r="S35" s="0"/>
    </row>
    <row r="36" customFormat="false" ht="12.8" hidden="false" customHeight="false" outlineLevel="0" collapsed="false">
      <c r="A36" s="5" t="s">
        <v>43</v>
      </c>
      <c r="B36" s="1" t="n">
        <v>1.92</v>
      </c>
      <c r="C36" s="0"/>
      <c r="D36" s="1" t="n">
        <v>8.69195</v>
      </c>
      <c r="E36" s="1" t="n">
        <v>9.08262</v>
      </c>
      <c r="F36" s="0"/>
      <c r="G36" s="1" t="n">
        <v>9.939</v>
      </c>
      <c r="H36" s="1" t="n">
        <v>1.861</v>
      </c>
      <c r="I36" s="1" t="n">
        <v>1.861</v>
      </c>
      <c r="J36" s="1" t="n">
        <v>0</v>
      </c>
      <c r="K36" s="1" t="n">
        <v>0</v>
      </c>
      <c r="L36" s="1" t="n">
        <v>1.861</v>
      </c>
      <c r="M36" s="1" t="n">
        <v>0</v>
      </c>
      <c r="N36" s="1" t="n">
        <v>0</v>
      </c>
      <c r="O36" s="0"/>
      <c r="P36" s="0"/>
      <c r="Q36" s="0"/>
      <c r="R36" s="0"/>
      <c r="S36" s="0"/>
    </row>
    <row r="37" customFormat="false" ht="12.8" hidden="false" customHeight="false" outlineLevel="0" collapsed="false">
      <c r="A37" s="5" t="s">
        <v>44</v>
      </c>
      <c r="B37" s="1" t="n">
        <v>1.92</v>
      </c>
      <c r="C37" s="0"/>
      <c r="D37" s="1" t="n">
        <v>8.46889</v>
      </c>
      <c r="E37" s="1" t="n">
        <v>8.49675</v>
      </c>
      <c r="F37" s="0"/>
      <c r="G37" s="1" t="n">
        <v>0.038</v>
      </c>
      <c r="H37" s="1" t="n">
        <v>0.001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0"/>
      <c r="P37" s="0"/>
      <c r="Q37" s="0"/>
      <c r="R37" s="0"/>
      <c r="S37" s="0"/>
    </row>
    <row r="38" customFormat="false" ht="12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</row>
    <row r="39" customFormat="false" ht="12.8" hidden="false" customHeight="false" outlineLevel="0" collapsed="false">
      <c r="A39" s="5" t="s">
        <v>45</v>
      </c>
      <c r="B39" s="1" t="n">
        <v>1.9</v>
      </c>
      <c r="C39" s="0"/>
      <c r="D39" s="1" t="n">
        <v>3.56123</v>
      </c>
      <c r="E39" s="1" t="n">
        <v>3.51577</v>
      </c>
      <c r="F39" s="0"/>
      <c r="G39" s="1" t="n">
        <v>27.822</v>
      </c>
      <c r="H39" s="1" t="n">
        <v>7.728</v>
      </c>
      <c r="I39" s="1" t="n">
        <v>0</v>
      </c>
      <c r="J39" s="1" t="n">
        <v>1.159</v>
      </c>
      <c r="K39" s="1" t="n">
        <v>0</v>
      </c>
      <c r="L39" s="1" t="n">
        <v>0</v>
      </c>
      <c r="M39" s="1" t="n">
        <v>0</v>
      </c>
      <c r="N39" s="1" t="n">
        <v>0</v>
      </c>
      <c r="O39" s="0"/>
      <c r="P39" s="0"/>
      <c r="Q39" s="0"/>
      <c r="R39" s="0"/>
      <c r="S39" s="0"/>
    </row>
    <row r="40" customFormat="false" ht="12.8" hidden="false" customHeight="false" outlineLevel="0" collapsed="false">
      <c r="A40" s="5" t="s">
        <v>46</v>
      </c>
      <c r="B40" s="1" t="n">
        <v>1.9</v>
      </c>
      <c r="C40" s="0"/>
      <c r="D40" s="1" t="n">
        <v>3.33418</v>
      </c>
      <c r="E40" s="1" t="n">
        <v>3.33816</v>
      </c>
      <c r="F40" s="0"/>
      <c r="G40" s="1" t="n">
        <v>6.047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0"/>
      <c r="P40" s="0"/>
      <c r="Q40" s="0"/>
      <c r="R40" s="0"/>
      <c r="S40" s="0"/>
    </row>
    <row r="41" customFormat="false" ht="12.8" hidden="false" customHeight="false" outlineLevel="0" collapsed="false">
      <c r="A41" s="5" t="s">
        <v>47</v>
      </c>
      <c r="B41" s="1" t="n">
        <v>1.9</v>
      </c>
      <c r="C41" s="0"/>
      <c r="D41" s="1" t="n">
        <v>3.42475</v>
      </c>
      <c r="E41" s="1" t="n">
        <v>3.46809</v>
      </c>
      <c r="F41" s="0"/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0"/>
      <c r="P41" s="0"/>
      <c r="Q41" s="0"/>
      <c r="R41" s="0"/>
      <c r="S41" s="0"/>
    </row>
    <row r="42" customFormat="false" ht="12.8" hidden="false" customHeight="false" outlineLevel="0" collapsed="false">
      <c r="A42" s="5" t="s">
        <v>48</v>
      </c>
      <c r="B42" s="1" t="n">
        <v>1.9</v>
      </c>
      <c r="C42" s="0"/>
      <c r="D42" s="1" t="n">
        <v>3.3058</v>
      </c>
      <c r="E42" s="1" t="n">
        <v>3.19819</v>
      </c>
      <c r="F42" s="0"/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0"/>
      <c r="P42" s="0"/>
      <c r="Q42" s="0"/>
      <c r="R42" s="0"/>
      <c r="S42" s="0"/>
    </row>
    <row r="43" customFormat="false" ht="12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</row>
    <row r="44" customFormat="false" ht="12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</row>
    <row r="45" customFormat="false" ht="12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</row>
    <row r="46" customFormat="false" ht="12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</row>
    <row r="47" customFormat="false" ht="12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</row>
    <row r="48" customFormat="false" ht="12.8" hidden="false" customHeight="false" outlineLevel="0" collapsed="false">
      <c r="A48" s="0"/>
      <c r="B48" s="3"/>
      <c r="C48" s="3"/>
      <c r="D48" s="3"/>
      <c r="E48" s="3"/>
      <c r="F48" s="3"/>
      <c r="G48" s="0"/>
      <c r="H48" s="0"/>
      <c r="I48" s="0"/>
      <c r="J48" s="0"/>
      <c r="K48" s="0"/>
      <c r="L48" s="0"/>
      <c r="M48" s="3"/>
      <c r="N48" s="3"/>
      <c r="O48" s="3"/>
      <c r="P48" s="3"/>
      <c r="Q48" s="3"/>
      <c r="R48" s="3"/>
      <c r="S48" s="3"/>
    </row>
    <row r="49" customFormat="false" ht="12.8" hidden="false" customHeight="false" outlineLevel="0" collapsed="false">
      <c r="A49" s="0"/>
      <c r="B49" s="3"/>
      <c r="C49" s="3"/>
      <c r="D49" s="3"/>
      <c r="E49" s="3"/>
      <c r="F49" s="3"/>
      <c r="G49" s="0"/>
      <c r="H49" s="0"/>
      <c r="I49" s="0"/>
      <c r="J49" s="0"/>
      <c r="K49" s="0"/>
      <c r="L49" s="0"/>
      <c r="M49" s="3"/>
      <c r="N49" s="3"/>
      <c r="O49" s="3"/>
      <c r="P49" s="3"/>
      <c r="Q49" s="3"/>
      <c r="R49" s="3"/>
      <c r="S49" s="3"/>
    </row>
    <row r="50" customFormat="false" ht="17.35" hidden="false" customHeight="false" outlineLevel="0" collapsed="false">
      <c r="A50" s="6" t="s">
        <v>49</v>
      </c>
      <c r="B50" s="0"/>
      <c r="C50" s="0"/>
      <c r="D50" s="5"/>
      <c r="E50" s="5"/>
      <c r="F50" s="5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  <row r="51" customFormat="false" ht="12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</row>
    <row r="52" customFormat="false" ht="12.8" hidden="false" customHeight="false" outlineLevel="0" collapsed="false">
      <c r="A52" s="5" t="s">
        <v>17</v>
      </c>
      <c r="B52" s="1" t="n">
        <f aca="false">B4/B4</f>
        <v>1</v>
      </c>
      <c r="C52" s="0"/>
      <c r="D52" s="1" t="n">
        <f aca="false">D4/B4</f>
        <v>7.40507142857143</v>
      </c>
      <c r="E52" s="1" t="n">
        <f aca="false">E4/B4</f>
        <v>7.31464285714286</v>
      </c>
      <c r="F52" s="0"/>
      <c r="G52" s="1" t="n">
        <f aca="false">(G4+E4)/B4</f>
        <v>7.31464285714286</v>
      </c>
      <c r="H52" s="1" t="n">
        <f aca="false">(H4+E4)/B4</f>
        <v>7.31464285714286</v>
      </c>
      <c r="I52" s="1" t="n">
        <f aca="false">(I4+E4)/B4</f>
        <v>7.31464285714286</v>
      </c>
      <c r="J52" s="1" t="n">
        <f aca="false">(J4+E4)/B4</f>
        <v>7.31464285714286</v>
      </c>
      <c r="K52" s="1" t="n">
        <f aca="false">(K4+E4)/B4</f>
        <v>7.31464285714286</v>
      </c>
      <c r="L52" s="1" t="n">
        <f aca="false">(L4+E4)/B4</f>
        <v>7.31464285714286</v>
      </c>
      <c r="M52" s="1" t="n">
        <f aca="false">(M4+E4)/B4</f>
        <v>7.31464285714286</v>
      </c>
      <c r="N52" s="1" t="n">
        <f aca="false">(N4+E4)/B4</f>
        <v>7.31464285714286</v>
      </c>
      <c r="O52" s="0"/>
      <c r="P52" s="0"/>
      <c r="Q52" s="0"/>
      <c r="R52" s="0"/>
      <c r="S52" s="0"/>
    </row>
    <row r="53" customFormat="false" ht="12.8" hidden="false" customHeight="false" outlineLevel="0" collapsed="false">
      <c r="A53" s="5" t="s">
        <v>18</v>
      </c>
      <c r="B53" s="1" t="n">
        <f aca="false">B5/B5</f>
        <v>1</v>
      </c>
      <c r="C53" s="0"/>
      <c r="D53" s="1" t="n">
        <f aca="false">D5/B5</f>
        <v>6.79637857142857</v>
      </c>
      <c r="E53" s="1" t="n">
        <f aca="false">E5/B5</f>
        <v>7.00735714285714</v>
      </c>
      <c r="F53" s="0"/>
      <c r="G53" s="1" t="n">
        <f aca="false">(G5+E5)/B5</f>
        <v>7.00735714285714</v>
      </c>
      <c r="H53" s="1" t="n">
        <f aca="false">(H5+E5)/B5</f>
        <v>7.00735714285714</v>
      </c>
      <c r="I53" s="1" t="n">
        <f aca="false">(I5+E5)/B5</f>
        <v>7.00735714285714</v>
      </c>
      <c r="J53" s="1" t="n">
        <f aca="false">(J5+E5)/B5</f>
        <v>7.00735714285714</v>
      </c>
      <c r="K53" s="1" t="n">
        <f aca="false">(K5+E5)/B5</f>
        <v>7.00735714285714</v>
      </c>
      <c r="L53" s="1" t="n">
        <f aca="false">(L5+E5)/B5</f>
        <v>7.00735714285714</v>
      </c>
      <c r="M53" s="1" t="n">
        <f aca="false">(M5+E5)/B5</f>
        <v>7.00735714285714</v>
      </c>
      <c r="N53" s="1" t="n">
        <f aca="false">(N5+E5)/B5</f>
        <v>7.00735714285714</v>
      </c>
      <c r="O53" s="0"/>
      <c r="P53" s="0"/>
      <c r="Q53" s="0"/>
      <c r="R53" s="0"/>
      <c r="S53" s="0"/>
    </row>
    <row r="54" customFormat="false" ht="12.8" hidden="false" customHeight="false" outlineLevel="0" collapsed="false">
      <c r="A54" s="5" t="s">
        <v>19</v>
      </c>
      <c r="B54" s="1" t="n">
        <f aca="false">B6/B6</f>
        <v>1</v>
      </c>
      <c r="C54" s="0"/>
      <c r="D54" s="1" t="n">
        <f aca="false">D6/B6</f>
        <v>8.02685714285714</v>
      </c>
      <c r="E54" s="1" t="n">
        <f aca="false">E6/B6</f>
        <v>8.16178571428572</v>
      </c>
      <c r="F54" s="0"/>
      <c r="G54" s="1" t="n">
        <f aca="false">(G6+E6)/B6</f>
        <v>8.16178571428572</v>
      </c>
      <c r="H54" s="1" t="n">
        <f aca="false">(H6+E6)/B6</f>
        <v>8.16178571428572</v>
      </c>
      <c r="I54" s="1" t="n">
        <f aca="false">(I6+E6)/B6</f>
        <v>8.16178571428572</v>
      </c>
      <c r="J54" s="1" t="n">
        <f aca="false">(J6+E6)/B6</f>
        <v>8.16178571428572</v>
      </c>
      <c r="K54" s="1" t="n">
        <f aca="false">(K6+E6)/B6</f>
        <v>8.16178571428572</v>
      </c>
      <c r="L54" s="1" t="n">
        <f aca="false">(L6+E6)/B6</f>
        <v>8.16178571428572</v>
      </c>
      <c r="M54" s="1" t="n">
        <f aca="false">(M6+E6)/B6</f>
        <v>8.16178571428572</v>
      </c>
      <c r="N54" s="1" t="n">
        <f aca="false">(N6+E6)/B6</f>
        <v>8.16178571428572</v>
      </c>
      <c r="O54" s="0"/>
      <c r="P54" s="0"/>
      <c r="Q54" s="0"/>
      <c r="R54" s="0"/>
      <c r="S54" s="0"/>
    </row>
    <row r="55" customFormat="false" ht="12.8" hidden="false" customHeight="false" outlineLevel="0" collapsed="false">
      <c r="A55" s="5" t="s">
        <v>20</v>
      </c>
      <c r="B55" s="1" t="n">
        <f aca="false">B7/B7</f>
        <v>1</v>
      </c>
      <c r="C55" s="0"/>
      <c r="D55" s="1" t="n">
        <f aca="false">D7/B7</f>
        <v>6.74380714285714</v>
      </c>
      <c r="E55" s="1" t="n">
        <f aca="false">E7/B7</f>
        <v>7.18657142857143</v>
      </c>
      <c r="F55" s="0"/>
      <c r="G55" s="1" t="n">
        <f aca="false">(G7+E7)/B7</f>
        <v>7.18657142857143</v>
      </c>
      <c r="H55" s="1" t="n">
        <f aca="false">(H7+E7)/B7</f>
        <v>7.18657142857143</v>
      </c>
      <c r="I55" s="1" t="n">
        <f aca="false">(I7+E7)/B7</f>
        <v>7.18657142857143</v>
      </c>
      <c r="J55" s="1" t="n">
        <f aca="false">(J7+E7)/B7</f>
        <v>7.18657142857143</v>
      </c>
      <c r="K55" s="1" t="n">
        <f aca="false">(K7+E7)/B7</f>
        <v>7.18657142857143</v>
      </c>
      <c r="L55" s="1" t="n">
        <f aca="false">(L7+E7)/B7</f>
        <v>7.18657142857143</v>
      </c>
      <c r="M55" s="1" t="n">
        <f aca="false">(M7+E7)/B7</f>
        <v>7.18657142857143</v>
      </c>
      <c r="N55" s="1" t="n">
        <f aca="false">(N7+E7)/B7</f>
        <v>7.18657142857143</v>
      </c>
      <c r="O55" s="0"/>
      <c r="P55" s="0"/>
      <c r="Q55" s="0"/>
      <c r="R55" s="0"/>
      <c r="S55" s="0"/>
    </row>
    <row r="56" customFormat="false" ht="12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</row>
    <row r="57" customFormat="false" ht="12.8" hidden="false" customHeight="false" outlineLevel="0" collapsed="false">
      <c r="A57" s="1" t="s">
        <v>21</v>
      </c>
      <c r="B57" s="1" t="n">
        <f aca="false">B9/B9</f>
        <v>1</v>
      </c>
      <c r="C57" s="0"/>
      <c r="D57" s="1" t="n">
        <f aca="false">D9/B9</f>
        <v>12.4090977443609</v>
      </c>
      <c r="E57" s="1" t="n">
        <f aca="false">E9/B9</f>
        <v>12.6127819548872</v>
      </c>
      <c r="F57" s="0"/>
      <c r="G57" s="1" t="n">
        <f aca="false">(G9+E9)/B9</f>
        <v>224.653383458647</v>
      </c>
      <c r="H57" s="1" t="n">
        <f aca="false">(H9+E9)/B9</f>
        <v>206.902255639098</v>
      </c>
      <c r="I57" s="1" t="n">
        <f aca="false">(I9+E9)/B9</f>
        <v>124.07969924812</v>
      </c>
      <c r="J57" s="1" t="n">
        <f aca="false">(J9+E9)/B9</f>
        <v>95.5992481203007</v>
      </c>
      <c r="K57" s="1" t="n">
        <f aca="false">(K9+E9)/B9</f>
        <v>70.2646616541353</v>
      </c>
      <c r="L57" s="1" t="n">
        <f aca="false">(L9+E9)/B9</f>
        <v>58.2345864661654</v>
      </c>
      <c r="M57" s="1" t="n">
        <f aca="false">(M9+E9)/B9</f>
        <v>59.318045112782</v>
      </c>
      <c r="N57" s="1" t="n">
        <f aca="false">(N9+E9)/B9</f>
        <v>36.0428571428571</v>
      </c>
      <c r="O57" s="0"/>
      <c r="P57" s="0"/>
      <c r="Q57" s="0"/>
      <c r="R57" s="0"/>
      <c r="S57" s="0"/>
    </row>
    <row r="58" customFormat="false" ht="12.8" hidden="false" customHeight="false" outlineLevel="0" collapsed="false">
      <c r="A58" s="1" t="s">
        <v>22</v>
      </c>
      <c r="B58" s="1" t="n">
        <f aca="false">B10/B10</f>
        <v>1</v>
      </c>
      <c r="C58" s="0"/>
      <c r="D58" s="1" t="n">
        <f aca="false">D10/B10</f>
        <v>10.5412030075188</v>
      </c>
      <c r="E58" s="1" t="n">
        <f aca="false">E10/B10</f>
        <v>10.6417293233083</v>
      </c>
      <c r="F58" s="0"/>
      <c r="G58" s="1" t="n">
        <f aca="false">(G10+E10)/B10</f>
        <v>147.945488721805</v>
      </c>
      <c r="H58" s="1" t="n">
        <f aca="false">(H10+E10)/B10</f>
        <v>70.4545112781955</v>
      </c>
      <c r="I58" s="1" t="n">
        <f aca="false">(I10+E10)/B10</f>
        <v>41.5537593984962</v>
      </c>
      <c r="J58" s="1" t="n">
        <f aca="false">(J10+E10)/B10</f>
        <v>34.8011278195489</v>
      </c>
      <c r="K58" s="1" t="n">
        <f aca="false">(K10+E10)/B10</f>
        <v>27.7387218045113</v>
      </c>
      <c r="L58" s="1" t="n">
        <f aca="false">(L10+E10)/B10</f>
        <v>26.8672932330827</v>
      </c>
      <c r="M58" s="1" t="n">
        <f aca="false">(M10+E10)/B10</f>
        <v>23.5710526315789</v>
      </c>
      <c r="N58" s="1" t="n">
        <f aca="false">(N10+E10)/B10</f>
        <v>22.046992481203</v>
      </c>
      <c r="O58" s="0"/>
      <c r="P58" s="0"/>
      <c r="Q58" s="0"/>
      <c r="R58" s="0"/>
      <c r="S58" s="0"/>
    </row>
    <row r="59" customFormat="false" ht="12.8" hidden="false" customHeight="false" outlineLevel="0" collapsed="false">
      <c r="A59" s="1" t="s">
        <v>23</v>
      </c>
      <c r="B59" s="1" t="n">
        <f aca="false">B11/B11</f>
        <v>1</v>
      </c>
      <c r="C59" s="0"/>
      <c r="D59" s="1" t="n">
        <f aca="false">D11/B11</f>
        <v>11.7172180451128</v>
      </c>
      <c r="E59" s="1" t="n">
        <f aca="false">E11/B11</f>
        <v>11.6573684210526</v>
      </c>
      <c r="F59" s="0"/>
      <c r="G59" s="1" t="n">
        <f aca="false">(G11+E11)/B11</f>
        <v>94.6551127819549</v>
      </c>
      <c r="H59" s="1" t="n">
        <f aca="false">(H11+E11)/B11</f>
        <v>51.6310526315789</v>
      </c>
      <c r="I59" s="1" t="n">
        <f aca="false">(I11+E11)/B11</f>
        <v>34.21</v>
      </c>
      <c r="J59" s="1" t="n">
        <f aca="false">(J11+E11)/B11</f>
        <v>32.1701503759398</v>
      </c>
      <c r="K59" s="1" t="n">
        <f aca="false">(K11+E11)/B11</f>
        <v>27.591954887218</v>
      </c>
      <c r="L59" s="1" t="n">
        <f aca="false">(L11+E11)/B11</f>
        <v>24.6303007518797</v>
      </c>
      <c r="M59" s="1" t="n">
        <f aca="false">(M11+E11)/B11</f>
        <v>24.9739097744361</v>
      </c>
      <c r="N59" s="1" t="n">
        <f aca="false">(N11+E11)/B11</f>
        <v>23.6912030075188</v>
      </c>
      <c r="O59" s="0"/>
      <c r="P59" s="0"/>
      <c r="Q59" s="0"/>
      <c r="R59" s="0"/>
      <c r="S59" s="0"/>
    </row>
    <row r="60" customFormat="false" ht="12.8" hidden="false" customHeight="false" outlineLevel="0" collapsed="false">
      <c r="A60" s="1" t="s">
        <v>24</v>
      </c>
      <c r="B60" s="1" t="n">
        <f aca="false">B12/B12</f>
        <v>1</v>
      </c>
      <c r="C60" s="0"/>
      <c r="D60" s="1" t="n">
        <f aca="false">D12/B12</f>
        <v>9.98496240601504</v>
      </c>
      <c r="E60" s="1" t="n">
        <f aca="false">E12/B12</f>
        <v>10.4369172932331</v>
      </c>
      <c r="F60" s="0"/>
      <c r="G60" s="1" t="n">
        <f aca="false">(G12+E12)/B12</f>
        <v>76.4369172932331</v>
      </c>
      <c r="H60" s="1" t="n">
        <f aca="false">(H12+E12)/B12</f>
        <v>44.9978195488722</v>
      </c>
      <c r="I60" s="1" t="n">
        <f aca="false">(I12+E12)/B12</f>
        <v>35.051954887218</v>
      </c>
      <c r="J60" s="1" t="n">
        <f aca="false">(J12+E12)/B12</f>
        <v>30.2632330827068</v>
      </c>
      <c r="K60" s="1" t="n">
        <f aca="false">(K12+E12)/B12</f>
        <v>31.5812781954887</v>
      </c>
      <c r="L60" s="1" t="n">
        <f aca="false">(L12+E12)/B12</f>
        <v>24.5775187969925</v>
      </c>
      <c r="M60" s="1" t="n">
        <f aca="false">(M12+E12)/B12</f>
        <v>27.2617293233083</v>
      </c>
      <c r="N60" s="1" t="n">
        <f aca="false">(N12+E12)/B12</f>
        <v>22.7271428571429</v>
      </c>
      <c r="O60" s="0"/>
      <c r="P60" s="0"/>
      <c r="Q60" s="0"/>
      <c r="R60" s="0"/>
      <c r="S60" s="0"/>
    </row>
    <row r="61" customFormat="false" ht="12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</row>
    <row r="62" customFormat="false" ht="12.8" hidden="false" customHeight="false" outlineLevel="0" collapsed="false">
      <c r="A62" s="1" t="s">
        <v>50</v>
      </c>
      <c r="B62" s="1" t="n">
        <f aca="false">B14/B14</f>
        <v>1</v>
      </c>
      <c r="C62" s="0"/>
      <c r="D62" s="1" t="n">
        <f aca="false">D14/B14</f>
        <v>22.2561313868613</v>
      </c>
      <c r="E62" s="1" t="n">
        <f aca="false">E14/B14</f>
        <v>22.0969343065693</v>
      </c>
      <c r="F62" s="0"/>
      <c r="G62" s="1" t="n">
        <f aca="false">(G14+E14)/B14</f>
        <v>263.014452554745</v>
      </c>
      <c r="H62" s="1" t="n">
        <f aca="false">(H14+E14)/B14</f>
        <v>247.254598540146</v>
      </c>
      <c r="I62" s="1" t="n">
        <f aca="false">(I14+E14)/B14</f>
        <v>177.459708029197</v>
      </c>
      <c r="J62" s="1" t="n">
        <f aca="false">(J14+E14)/B14</f>
        <v>144.904233576642</v>
      </c>
      <c r="K62" s="1" t="n">
        <f aca="false">(K14+E14)/B14</f>
        <v>98.174306569343</v>
      </c>
      <c r="L62" s="1" t="n">
        <f aca="false">(L14+E14)/B14</f>
        <v>84.6531386861314</v>
      </c>
      <c r="M62" s="1" t="n">
        <f aca="false">(M14+E14)/B14</f>
        <v>68.5093430656934</v>
      </c>
      <c r="N62" s="1" t="n">
        <f aca="false">(N14+E14)/B14</f>
        <v>61.2867153284672</v>
      </c>
      <c r="O62" s="0"/>
      <c r="P62" s="0"/>
      <c r="Q62" s="0"/>
      <c r="R62" s="0"/>
      <c r="S62" s="0"/>
    </row>
    <row r="63" customFormat="false" ht="12.8" hidden="false" customHeight="false" outlineLevel="0" collapsed="false">
      <c r="A63" s="1" t="s">
        <v>51</v>
      </c>
      <c r="B63" s="1" t="n">
        <f aca="false">B15/B15</f>
        <v>1</v>
      </c>
      <c r="C63" s="0"/>
      <c r="D63" s="1" t="n">
        <f aca="false">D15/B15</f>
        <v>20.1808759124088</v>
      </c>
      <c r="E63" s="1" t="n">
        <f aca="false">E15/B15</f>
        <v>20.6072262773723</v>
      </c>
      <c r="F63" s="0"/>
      <c r="G63" s="1" t="n">
        <f aca="false">(G15+E15)/B15</f>
        <v>181.17802919708</v>
      </c>
      <c r="H63" s="1" t="n">
        <f aca="false">(H15+E15)/B15</f>
        <v>112.784598540146</v>
      </c>
      <c r="I63" s="1" t="n">
        <f aca="false">(I15+E15)/B15</f>
        <v>62.1393430656934</v>
      </c>
      <c r="J63" s="1" t="n">
        <f aca="false">(J15+E15)/B15</f>
        <v>49.7152554744526</v>
      </c>
      <c r="K63" s="1" t="n">
        <f aca="false">(K15+E15)/B15</f>
        <v>42.0116058394161</v>
      </c>
      <c r="L63" s="1" t="n">
        <f aca="false">(L15+E15)/B15</f>
        <v>35.8765693430657</v>
      </c>
      <c r="M63" s="1" t="n">
        <f aca="false">(M15+E15)/B15</f>
        <v>34.9502919708029</v>
      </c>
      <c r="N63" s="1" t="n">
        <f aca="false">(N15+E15)/B15</f>
        <v>32.0889781021898</v>
      </c>
      <c r="O63" s="0"/>
      <c r="P63" s="0"/>
      <c r="Q63" s="0"/>
      <c r="R63" s="0"/>
      <c r="S63" s="0"/>
    </row>
    <row r="64" customFormat="false" ht="12.8" hidden="false" customHeight="false" outlineLevel="0" collapsed="false">
      <c r="A64" s="1" t="s">
        <v>52</v>
      </c>
      <c r="B64" s="1" t="n">
        <f aca="false">B16/B16</f>
        <v>1</v>
      </c>
      <c r="C64" s="0"/>
      <c r="D64" s="1" t="n">
        <f aca="false">D16/B16</f>
        <v>21.6174452554745</v>
      </c>
      <c r="E64" s="1" t="n">
        <f aca="false">E16/B16</f>
        <v>21.5808759124088</v>
      </c>
      <c r="F64" s="0"/>
      <c r="G64" s="1" t="n">
        <f aca="false">(G16+E16)/B16</f>
        <v>130.239270072993</v>
      </c>
      <c r="H64" s="1" t="n">
        <f aca="false">(H16+E16)/B16</f>
        <v>72.1896350364963</v>
      </c>
      <c r="I64" s="1" t="n">
        <f aca="false">(I16+E16)/B16</f>
        <v>52.6297810218978</v>
      </c>
      <c r="J64" s="1" t="n">
        <f aca="false">(J16+E16)/B16</f>
        <v>44.3290510948905</v>
      </c>
      <c r="K64" s="1" t="n">
        <f aca="false">(K16+E16)/B16</f>
        <v>41.1465693430657</v>
      </c>
      <c r="L64" s="1" t="n">
        <f aca="false">(L16+E16)/B16</f>
        <v>37.954598540146</v>
      </c>
      <c r="M64" s="1" t="n">
        <f aca="false">(M16+E16)/B16</f>
        <v>35.2896350364963</v>
      </c>
      <c r="N64" s="1" t="n">
        <f aca="false">(N16+E16)/B16</f>
        <v>33.6305109489051</v>
      </c>
      <c r="O64" s="0"/>
      <c r="P64" s="0"/>
      <c r="Q64" s="0"/>
      <c r="R64" s="0"/>
      <c r="S64" s="0"/>
    </row>
    <row r="65" customFormat="false" ht="12.8" hidden="false" customHeight="false" outlineLevel="0" collapsed="false">
      <c r="A65" s="1" t="s">
        <v>53</v>
      </c>
      <c r="B65" s="1" t="n">
        <f aca="false">B17/B17</f>
        <v>1</v>
      </c>
      <c r="C65" s="0"/>
      <c r="D65" s="1" t="n">
        <f aca="false">D17/B17</f>
        <v>19.9743065693431</v>
      </c>
      <c r="E65" s="1" t="n">
        <f aca="false">E17/B17</f>
        <v>20.4757664233577</v>
      </c>
      <c r="F65" s="0"/>
      <c r="G65" s="1" t="n">
        <f aca="false">(G17+E17)/B17</f>
        <v>111.807153284672</v>
      </c>
      <c r="H65" s="1" t="n">
        <f aca="false">(H17+E17)/B17</f>
        <v>63.2509489051095</v>
      </c>
      <c r="I65" s="1" t="n">
        <f aca="false">(I17+E17)/B17</f>
        <v>52.0436496350365</v>
      </c>
      <c r="J65" s="1" t="n">
        <f aca="false">(J17+E17)/B17</f>
        <v>42.2042335766423</v>
      </c>
      <c r="K65" s="1" t="n">
        <f aca="false">(K17+E17)/B17</f>
        <v>42.2502189781022</v>
      </c>
      <c r="L65" s="1" t="n">
        <f aca="false">(L17+E17)/B17</f>
        <v>39.0735766423358</v>
      </c>
      <c r="M65" s="1" t="n">
        <f aca="false">(M17+E17)/B17</f>
        <v>41.269197080292</v>
      </c>
      <c r="N65" s="1" t="n">
        <f aca="false">(N17+E17)/B17</f>
        <v>32.8487591240876</v>
      </c>
      <c r="O65" s="0"/>
      <c r="P65" s="0"/>
      <c r="Q65" s="0"/>
      <c r="R65" s="0"/>
      <c r="S65" s="0"/>
    </row>
    <row r="66" customFormat="false" ht="12.8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</row>
    <row r="67" customFormat="false" ht="12.8" hidden="false" customHeight="false" outlineLevel="0" collapsed="false">
      <c r="A67" s="5" t="s">
        <v>29</v>
      </c>
      <c r="B67" s="1" t="n">
        <f aca="false">B19/B19</f>
        <v>1</v>
      </c>
      <c r="C67" s="0"/>
      <c r="D67" s="1" t="n">
        <f aca="false">D19/B19</f>
        <v>13.3515384615385</v>
      </c>
      <c r="E67" s="1" t="n">
        <f aca="false">E19/B19</f>
        <v>14.8994358974359</v>
      </c>
      <c r="F67" s="0"/>
      <c r="G67" s="1" t="n">
        <f aca="false">(G19+E19)/B19</f>
        <v>32.3702051282051</v>
      </c>
      <c r="H67" s="1" t="n">
        <f aca="false">(H19+E19)/B19</f>
        <v>31.1891794871795</v>
      </c>
      <c r="I67" s="1" t="n">
        <f aca="false">(I19+E19)/B19</f>
        <v>30.1086666666667</v>
      </c>
      <c r="J67" s="1" t="n">
        <f aca="false">(J19+E19)/B19</f>
        <v>27.8096923076923</v>
      </c>
      <c r="K67" s="1" t="n">
        <f aca="false">(K19+E19)/B19</f>
        <v>27.6912307692308</v>
      </c>
      <c r="L67" s="1" t="n">
        <f aca="false">(L19+E19)/B19</f>
        <v>27.4861025641026</v>
      </c>
      <c r="M67" s="1" t="n">
        <f aca="false">(M19+E19)/B19</f>
        <v>27.4671282051282</v>
      </c>
      <c r="N67" s="1" t="n">
        <f aca="false">(N19+E19)/B19</f>
        <v>27.6404615384615</v>
      </c>
      <c r="O67" s="0"/>
      <c r="P67" s="0"/>
      <c r="Q67" s="0"/>
      <c r="R67" s="0"/>
      <c r="S67" s="0"/>
    </row>
    <row r="68" customFormat="false" ht="12.8" hidden="false" customHeight="false" outlineLevel="0" collapsed="false">
      <c r="A68" s="5" t="s">
        <v>30</v>
      </c>
      <c r="B68" s="1" t="n">
        <f aca="false">B20/B20</f>
        <v>1</v>
      </c>
      <c r="C68" s="0"/>
      <c r="D68" s="1" t="n">
        <f aca="false">D20/B20</f>
        <v>10.6591282051282</v>
      </c>
      <c r="E68" s="1" t="n">
        <f aca="false">E20/B20</f>
        <v>11.3934358974359</v>
      </c>
      <c r="F68" s="0"/>
      <c r="G68" s="1" t="n">
        <f aca="false">(G20+E20)/B20</f>
        <v>31.5252307692308</v>
      </c>
      <c r="H68" s="1" t="n">
        <f aca="false">(H20+E20)/B20</f>
        <v>28.5539487179487</v>
      </c>
      <c r="I68" s="1" t="n">
        <f aca="false">(I20+E20)/B20</f>
        <v>28.0236923076923</v>
      </c>
      <c r="J68" s="1" t="n">
        <f aca="false">(J20+E20)/B20</f>
        <v>27.6708717948718</v>
      </c>
      <c r="K68" s="1" t="n">
        <f aca="false">(K20+E20)/B20</f>
        <v>27.6134358974359</v>
      </c>
      <c r="L68" s="1" t="n">
        <f aca="false">(L20+E20)/B20</f>
        <v>27.5113846153846</v>
      </c>
      <c r="M68" s="1" t="n">
        <f aca="false">(M20+E20)/B20</f>
        <v>27.4713846153846</v>
      </c>
      <c r="N68" s="1" t="n">
        <f aca="false">(N20+E20)/B20</f>
        <v>27.3980512820513</v>
      </c>
      <c r="O68" s="0"/>
      <c r="P68" s="0"/>
      <c r="Q68" s="0"/>
      <c r="R68" s="0"/>
      <c r="S68" s="0"/>
    </row>
    <row r="69" customFormat="false" ht="12.8" hidden="false" customHeight="false" outlineLevel="0" collapsed="false">
      <c r="A69" s="5" t="s">
        <v>31</v>
      </c>
      <c r="B69" s="1" t="n">
        <f aca="false">B21/B21</f>
        <v>1</v>
      </c>
      <c r="C69" s="0"/>
      <c r="D69" s="1" t="n">
        <f aca="false">D21/B21</f>
        <v>13.0022051282051</v>
      </c>
      <c r="E69" s="1" t="n">
        <f aca="false">E21/B21</f>
        <v>13.0753333333333</v>
      </c>
      <c r="F69" s="0"/>
      <c r="G69" s="1" t="n">
        <f aca="false">(G21+E21)/B21</f>
        <v>43.3486666666667</v>
      </c>
      <c r="H69" s="1" t="n">
        <f aca="false">(H21+E21)/B21</f>
        <v>34.1902051282051</v>
      </c>
      <c r="I69" s="1" t="n">
        <f aca="false">(I21+E21)/B21</f>
        <v>33.6440512820513</v>
      </c>
      <c r="J69" s="1" t="n">
        <f aca="false">(J21+E21)/B21</f>
        <v>33.3122564102564</v>
      </c>
      <c r="K69" s="1" t="n">
        <f aca="false">(K21+E21)/B21</f>
        <v>33.2727692307692</v>
      </c>
      <c r="L69" s="1" t="n">
        <f aca="false">(L21+E21)/B21</f>
        <v>33.1045641025641</v>
      </c>
      <c r="M69" s="1" t="n">
        <f aca="false">(M21+E21)/B21</f>
        <v>33.1327692307692</v>
      </c>
      <c r="N69" s="1" t="n">
        <f aca="false">(N21+E21)/B21</f>
        <v>32.9481538461538</v>
      </c>
      <c r="O69" s="0"/>
      <c r="P69" s="0"/>
      <c r="Q69" s="0"/>
      <c r="R69" s="0"/>
      <c r="S69" s="0"/>
    </row>
    <row r="70" customFormat="false" ht="12.8" hidden="false" customHeight="false" outlineLevel="0" collapsed="false">
      <c r="A70" s="5" t="s">
        <v>32</v>
      </c>
      <c r="B70" s="1" t="n">
        <f aca="false">B22/B22</f>
        <v>1</v>
      </c>
      <c r="C70" s="0"/>
      <c r="D70" s="1" t="n">
        <f aca="false">D22/B22</f>
        <v>10.4348205128205</v>
      </c>
      <c r="E70" s="1" t="n">
        <f aca="false">E22/B22</f>
        <v>11.1555897435897</v>
      </c>
      <c r="F70" s="0"/>
      <c r="G70" s="1" t="n">
        <f aca="false">(G22+E22)/B22</f>
        <v>38.3212307692308</v>
      </c>
      <c r="H70" s="1" t="n">
        <f aca="false">(H22+E22)/B22</f>
        <v>36.1248205128205</v>
      </c>
      <c r="I70" s="1" t="n">
        <f aca="false">(I22+E22)/B22</f>
        <v>35.5858461538462</v>
      </c>
      <c r="J70" s="1" t="n">
        <f aca="false">(J22+E22)/B22</f>
        <v>35.2930256410256</v>
      </c>
      <c r="K70" s="1" t="n">
        <f aca="false">(K22+E22)/B22</f>
        <v>35.137641025641</v>
      </c>
      <c r="L70" s="1" t="n">
        <f aca="false">(L22+E22)/B22</f>
        <v>35.0104615384615</v>
      </c>
      <c r="M70" s="1" t="n">
        <f aca="false">(M22+E22)/B22</f>
        <v>34.9735384615385</v>
      </c>
      <c r="N70" s="1" t="n">
        <f aca="false">(N22+E22)/B22</f>
        <v>34.8822564102564</v>
      </c>
      <c r="O70" s="0"/>
      <c r="P70" s="0"/>
      <c r="Q70" s="0"/>
      <c r="R70" s="0"/>
      <c r="S70" s="0"/>
    </row>
    <row r="71" customFormat="false" ht="12.8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</row>
    <row r="72" customFormat="false" ht="12.8" hidden="false" customHeight="false" outlineLevel="0" collapsed="false">
      <c r="A72" s="1" t="s">
        <v>33</v>
      </c>
      <c r="B72" s="1" t="n">
        <f aca="false">B24/B24</f>
        <v>1</v>
      </c>
      <c r="C72" s="0"/>
      <c r="D72" s="1" t="n">
        <f aca="false">D24/B24</f>
        <v>18.9364948453608</v>
      </c>
      <c r="E72" s="1" t="n">
        <f aca="false">E24/B24</f>
        <v>18.9734536082474</v>
      </c>
      <c r="F72" s="0"/>
      <c r="G72" s="1" t="n">
        <f aca="false">(G24+E24)/B24</f>
        <v>146.406958762887</v>
      </c>
      <c r="H72" s="1" t="n">
        <f aca="false">(H24+E24)/B24</f>
        <v>102.52912371134</v>
      </c>
      <c r="I72" s="1" t="n">
        <f aca="false">(I24+E24)/B24</f>
        <v>74.2322164948454</v>
      </c>
      <c r="J72" s="1" t="n">
        <f aca="false">(J24+E24)/B24</f>
        <v>41.564175257732</v>
      </c>
      <c r="K72" s="1" t="n">
        <f aca="false">(K24+E24)/B24</f>
        <v>19.0574742268041</v>
      </c>
      <c r="L72" s="1" t="n">
        <f aca="false">(L24+E24)/B24</f>
        <v>37.055412371134</v>
      </c>
      <c r="M72" s="1" t="n">
        <f aca="false">(M24+E24)/B24</f>
        <v>21.7961340206186</v>
      </c>
      <c r="N72" s="1" t="n">
        <f aca="false">(N24+E24)/B24</f>
        <v>18.9744845360825</v>
      </c>
      <c r="O72" s="0"/>
      <c r="P72" s="0"/>
      <c r="Q72" s="0"/>
      <c r="R72" s="0"/>
      <c r="S72" s="0"/>
    </row>
    <row r="73" customFormat="false" ht="12.8" hidden="false" customHeight="false" outlineLevel="0" collapsed="false">
      <c r="A73" s="1" t="s">
        <v>34</v>
      </c>
      <c r="B73" s="1" t="n">
        <f aca="false">B25/B25</f>
        <v>1</v>
      </c>
      <c r="C73" s="0"/>
      <c r="D73" s="1" t="n">
        <f aca="false">D25/B25</f>
        <v>16.35</v>
      </c>
      <c r="E73" s="1" t="n">
        <f aca="false">E25/B25</f>
        <v>16.8028865979381</v>
      </c>
      <c r="F73" s="0"/>
      <c r="G73" s="1" t="n">
        <f aca="false">(G25+E25)/B25</f>
        <v>71.3430927835052</v>
      </c>
      <c r="H73" s="1" t="n">
        <f aca="false">(H25+E25)/B25</f>
        <v>31.4879381443299</v>
      </c>
      <c r="I73" s="1" t="n">
        <f aca="false">(I25+E25)/B25</f>
        <v>16.8240206185567</v>
      </c>
      <c r="J73" s="1" t="n">
        <f aca="false">(J25+E25)/B25</f>
        <v>17.269381443299</v>
      </c>
      <c r="K73" s="1" t="n">
        <f aca="false">(K25+E25)/B25</f>
        <v>16.8028865979381</v>
      </c>
      <c r="L73" s="1" t="n">
        <f aca="false">(L25+E25)/B25</f>
        <v>16.8028865979381</v>
      </c>
      <c r="M73" s="1" t="n">
        <f aca="false">(M25+E25)/B25</f>
        <v>16.8034020618557</v>
      </c>
      <c r="N73" s="1" t="n">
        <f aca="false">(N25+E25)/B25</f>
        <v>16.8028865979381</v>
      </c>
      <c r="O73" s="0"/>
      <c r="P73" s="0"/>
      <c r="Q73" s="0"/>
      <c r="R73" s="0"/>
      <c r="S73" s="0"/>
    </row>
    <row r="74" customFormat="false" ht="12.8" hidden="false" customHeight="false" outlineLevel="0" collapsed="false">
      <c r="A74" s="1" t="s">
        <v>35</v>
      </c>
      <c r="B74" s="1" t="n">
        <f aca="false">B26/B26</f>
        <v>1</v>
      </c>
      <c r="C74" s="0"/>
      <c r="D74" s="1" t="n">
        <f aca="false">D26/B26</f>
        <v>17.7196391752577</v>
      </c>
      <c r="E74" s="1" t="n">
        <f aca="false">E26/B26</f>
        <v>17.9696391752577</v>
      </c>
      <c r="F74" s="0"/>
      <c r="G74" s="1" t="n">
        <f aca="false">(G26+E26)/B26</f>
        <v>49.2428350515464</v>
      </c>
      <c r="H74" s="1" t="n">
        <f aca="false">(H26+E26)/B26</f>
        <v>22.6557216494845</v>
      </c>
      <c r="I74" s="1" t="n">
        <f aca="false">(I26+E26)/B26</f>
        <v>20.5959278350515</v>
      </c>
      <c r="J74" s="1" t="n">
        <f aca="false">(J26+E26)/B26</f>
        <v>17.9717010309278</v>
      </c>
      <c r="K74" s="1" t="n">
        <f aca="false">(K26+E26)/B26</f>
        <v>18.0490206185567</v>
      </c>
      <c r="L74" s="1" t="n">
        <f aca="false">(L26+E26)/B26</f>
        <v>17.9696391752577</v>
      </c>
      <c r="M74" s="1" t="n">
        <f aca="false">(M26+E26)/B26</f>
        <v>17.9696391752577</v>
      </c>
      <c r="N74" s="1" t="n">
        <f aca="false">(N26+E26)/B26</f>
        <v>17.9717010309278</v>
      </c>
      <c r="O74" s="0"/>
      <c r="P74" s="0"/>
      <c r="Q74" s="0"/>
      <c r="R74" s="0"/>
      <c r="S74" s="0"/>
    </row>
    <row r="75" customFormat="false" ht="12.8" hidden="false" customHeight="false" outlineLevel="0" collapsed="false">
      <c r="A75" s="1" t="s">
        <v>36</v>
      </c>
      <c r="B75" s="1" t="n">
        <f aca="false">B27/B27</f>
        <v>1</v>
      </c>
      <c r="C75" s="0"/>
      <c r="D75" s="1" t="n">
        <f aca="false">D27/B27</f>
        <v>16.1462886597938</v>
      </c>
      <c r="E75" s="1" t="n">
        <f aca="false">E27/B27</f>
        <v>16.3973711340206</v>
      </c>
      <c r="F75" s="0"/>
      <c r="G75" s="1" t="n">
        <f aca="false">(G27+E27)/B27</f>
        <v>32.0190206185567</v>
      </c>
      <c r="H75" s="1" t="n">
        <f aca="false">(H27+E27)/B27</f>
        <v>23.9989175257732</v>
      </c>
      <c r="I75" s="1" t="n">
        <f aca="false">(I27+E27)/B27</f>
        <v>16.4004639175258</v>
      </c>
      <c r="J75" s="1" t="n">
        <f aca="false">(J27+E27)/B27</f>
        <v>16.5886082474227</v>
      </c>
      <c r="K75" s="1" t="n">
        <f aca="false">(K27+E27)/B27</f>
        <v>16.3973711340206</v>
      </c>
      <c r="L75" s="1" t="n">
        <f aca="false">(L27+E27)/B27</f>
        <v>16.4004639175258</v>
      </c>
      <c r="M75" s="1" t="n">
        <f aca="false">(M27+E27)/B27</f>
        <v>16.3973711340206</v>
      </c>
      <c r="N75" s="1" t="n">
        <f aca="false">(N27+E27)/B27</f>
        <v>16.3973711340206</v>
      </c>
      <c r="O75" s="0"/>
      <c r="P75" s="0"/>
      <c r="Q75" s="0"/>
      <c r="R75" s="0"/>
      <c r="S75" s="0"/>
    </row>
    <row r="76" customFormat="false" ht="12.8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</row>
    <row r="77" customFormat="false" ht="12.8" hidden="false" customHeight="false" outlineLevel="0" collapsed="false">
      <c r="A77" s="1" t="s">
        <v>37</v>
      </c>
      <c r="B77" s="1" t="n">
        <f aca="false">B29/B29</f>
        <v>1</v>
      </c>
      <c r="C77" s="0"/>
      <c r="D77" s="1" t="n">
        <f aca="false">D29/B29</f>
        <v>14.5493193717277</v>
      </c>
      <c r="E77" s="1" t="n">
        <f aca="false">E29/B29</f>
        <v>14.1735602094241</v>
      </c>
      <c r="F77" s="0"/>
      <c r="G77" s="1" t="n">
        <f aca="false">(G29+E29)/B29</f>
        <v>121.982460732984</v>
      </c>
      <c r="H77" s="1" t="n">
        <f aca="false">(H29+E29)/B29</f>
        <v>79.6803664921466</v>
      </c>
      <c r="I77" s="1" t="n">
        <f aca="false">(I29+E29)/B29</f>
        <v>47.5248691099476</v>
      </c>
      <c r="J77" s="1" t="n">
        <f aca="false">(J29+E29)/B29</f>
        <v>15.1384816753927</v>
      </c>
      <c r="K77" s="1" t="n">
        <f aca="false">(K29+E29)/B29</f>
        <v>14.6609947643979</v>
      </c>
      <c r="L77" s="1" t="n">
        <f aca="false">(L29+E29)/B29</f>
        <v>14.1746073298429</v>
      </c>
      <c r="M77" s="1" t="n">
        <f aca="false">(M29+E29)/B29</f>
        <v>17.4206806282722</v>
      </c>
      <c r="N77" s="1" t="n">
        <f aca="false">(N29+E29)/B29</f>
        <v>14.1746073298429</v>
      </c>
      <c r="O77" s="0"/>
      <c r="P77" s="0"/>
      <c r="Q77" s="0"/>
      <c r="R77" s="0"/>
      <c r="S77" s="0"/>
    </row>
    <row r="78" customFormat="false" ht="12.8" hidden="false" customHeight="false" outlineLevel="0" collapsed="false">
      <c r="A78" s="1" t="s">
        <v>38</v>
      </c>
      <c r="B78" s="1" t="n">
        <f aca="false">B30/B30</f>
        <v>1</v>
      </c>
      <c r="C78" s="0"/>
      <c r="D78" s="1" t="n">
        <f aca="false">D30/B30</f>
        <v>11.8019371727749</v>
      </c>
      <c r="E78" s="1" t="n">
        <f aca="false">E30/B30</f>
        <v>12.2856544502618</v>
      </c>
      <c r="F78" s="0"/>
      <c r="G78" s="1" t="n">
        <f aca="false">(G30+E30)/B30</f>
        <v>53.7725654450262</v>
      </c>
      <c r="H78" s="1" t="n">
        <f aca="false">(H30+E30)/B30</f>
        <v>13.8887958115183</v>
      </c>
      <c r="I78" s="1" t="n">
        <f aca="false">(I30+E30)/B30</f>
        <v>12.9086910994764</v>
      </c>
      <c r="J78" s="1" t="n">
        <f aca="false">(J30+E30)/B30</f>
        <v>12.6380104712042</v>
      </c>
      <c r="K78" s="1" t="n">
        <f aca="false">(K30+E30)/B30</f>
        <v>12.2856544502618</v>
      </c>
      <c r="L78" s="1" t="n">
        <f aca="false">(L30+E30)/B30</f>
        <v>12.2856544502618</v>
      </c>
      <c r="M78" s="1" t="n">
        <f aca="false">(M30+E30)/B30</f>
        <v>12.2898429319372</v>
      </c>
      <c r="N78" s="1" t="n">
        <f aca="false">(N30+E30)/B30</f>
        <v>12.2961256544503</v>
      </c>
      <c r="O78" s="0"/>
      <c r="P78" s="0"/>
      <c r="Q78" s="0"/>
      <c r="R78" s="0"/>
      <c r="S78" s="0"/>
    </row>
    <row r="79" customFormat="false" ht="12.8" hidden="false" customHeight="false" outlineLevel="0" collapsed="false">
      <c r="A79" s="1" t="s">
        <v>39</v>
      </c>
      <c r="B79" s="1" t="n">
        <f aca="false">B31/B31</f>
        <v>1</v>
      </c>
      <c r="C79" s="0"/>
      <c r="D79" s="1" t="n">
        <f aca="false">D31/B31</f>
        <v>13.2056020942408</v>
      </c>
      <c r="E79" s="1" t="n">
        <f aca="false">E31/B31</f>
        <v>13.3327748691099</v>
      </c>
      <c r="F79" s="0"/>
      <c r="G79" s="1" t="n">
        <f aca="false">(G31+E31)/B31</f>
        <v>24.2793717277487</v>
      </c>
      <c r="H79" s="1" t="n">
        <f aca="false">(H31+E31)/B31</f>
        <v>13.4364397905759</v>
      </c>
      <c r="I79" s="1" t="n">
        <f aca="false">(I31+E31)/B31</f>
        <v>13.3338219895288</v>
      </c>
      <c r="J79" s="1" t="n">
        <f aca="false">(J31+E31)/B31</f>
        <v>13.3364397905759</v>
      </c>
      <c r="K79" s="1" t="n">
        <f aca="false">(K31+E31)/B31</f>
        <v>13.4416753926702</v>
      </c>
      <c r="L79" s="1" t="n">
        <f aca="false">(L31+E31)/B31</f>
        <v>13.3327748691099</v>
      </c>
      <c r="M79" s="1" t="n">
        <f aca="false">(M31+E31)/B31</f>
        <v>13.3327748691099</v>
      </c>
      <c r="N79" s="1" t="n">
        <f aca="false">(N31+E31)/B31</f>
        <v>13.3364397905759</v>
      </c>
      <c r="O79" s="0"/>
      <c r="P79" s="0"/>
      <c r="Q79" s="0"/>
      <c r="R79" s="0"/>
      <c r="S79" s="0"/>
    </row>
    <row r="80" customFormat="false" ht="12.8" hidden="false" customHeight="false" outlineLevel="0" collapsed="false">
      <c r="A80" s="1" t="s">
        <v>40</v>
      </c>
      <c r="B80" s="1" t="n">
        <f aca="false">B32/B32</f>
        <v>1</v>
      </c>
      <c r="C80" s="0"/>
      <c r="D80" s="1" t="n">
        <f aca="false">D32/B32</f>
        <v>11.4438743455497</v>
      </c>
      <c r="E80" s="1" t="n">
        <f aca="false">E32/B32</f>
        <v>11.8950261780105</v>
      </c>
      <c r="F80" s="0"/>
      <c r="G80" s="1" t="n">
        <f aca="false">(G32+E32)/B32</f>
        <v>19.7903141361257</v>
      </c>
      <c r="H80" s="1" t="n">
        <f aca="false">(H32+E32)/B32</f>
        <v>19.7903141361257</v>
      </c>
      <c r="I80" s="1" t="n">
        <f aca="false">(I32+E32)/B32</f>
        <v>11.9034031413613</v>
      </c>
      <c r="J80" s="1" t="n">
        <f aca="false">(J32+E32)/B32</f>
        <v>12.2913612565445</v>
      </c>
      <c r="K80" s="1" t="n">
        <f aca="false">(K32+E32)/B32</f>
        <v>11.8950261780105</v>
      </c>
      <c r="L80" s="1" t="n">
        <f aca="false">(L32+E32)/B32</f>
        <v>11.9034031413613</v>
      </c>
      <c r="M80" s="1" t="n">
        <f aca="false">(M32+E32)/B32</f>
        <v>11.8950261780105</v>
      </c>
      <c r="N80" s="1" t="n">
        <f aca="false">(N32+E32)/B32</f>
        <v>11.8950261780105</v>
      </c>
      <c r="O80" s="0"/>
      <c r="P80" s="0"/>
      <c r="Q80" s="0"/>
      <c r="R80" s="0"/>
      <c r="S80" s="0"/>
    </row>
    <row r="81" customFormat="false" ht="12.8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</row>
    <row r="82" customFormat="false" ht="12.8" hidden="false" customHeight="false" outlineLevel="0" collapsed="false">
      <c r="A82" s="5" t="s">
        <v>41</v>
      </c>
      <c r="B82" s="1" t="n">
        <f aca="false">B34/B34</f>
        <v>1</v>
      </c>
      <c r="C82" s="0"/>
      <c r="D82" s="1" t="n">
        <f aca="false">D34/B34</f>
        <v>4.615</v>
      </c>
      <c r="E82" s="1" t="n">
        <f aca="false">E34/B34</f>
        <v>4.60400520833333</v>
      </c>
      <c r="F82" s="0"/>
      <c r="G82" s="1" t="n">
        <f aca="false">(G34+E34)/B34</f>
        <v>27.639421875</v>
      </c>
      <c r="H82" s="1" t="n">
        <f aca="false">(H34+E34)/B34</f>
        <v>13.2540052083333</v>
      </c>
      <c r="I82" s="1" t="n">
        <f aca="false">(I34+E34)/B34</f>
        <v>9.53213020833333</v>
      </c>
      <c r="J82" s="1" t="n">
        <f aca="false">(J34+E34)/B34</f>
        <v>4.90556770833333</v>
      </c>
      <c r="K82" s="1" t="n">
        <f aca="false">(K34+E34)/B34</f>
        <v>4.60400520833333</v>
      </c>
      <c r="L82" s="1" t="n">
        <f aca="false">(L34+E34)/B34</f>
        <v>4.90556770833333</v>
      </c>
      <c r="M82" s="1" t="n">
        <f aca="false">(M34+E34)/B34</f>
        <v>4.60400520833333</v>
      </c>
      <c r="N82" s="1" t="n">
        <f aca="false">(N34+E34)/B34</f>
        <v>4.60400520833333</v>
      </c>
      <c r="O82" s="0"/>
      <c r="P82" s="0"/>
      <c r="Q82" s="0"/>
      <c r="R82" s="0"/>
      <c r="S82" s="0"/>
    </row>
    <row r="83" customFormat="false" ht="12.8" hidden="false" customHeight="false" outlineLevel="0" collapsed="false">
      <c r="A83" s="5" t="s">
        <v>42</v>
      </c>
      <c r="B83" s="1" t="n">
        <f aca="false">B35/B35</f>
        <v>1</v>
      </c>
      <c r="C83" s="0"/>
      <c r="D83" s="1" t="n">
        <f aca="false">D35/B35</f>
        <v>4.44160416666667</v>
      </c>
      <c r="E83" s="1" t="n">
        <f aca="false">E35/B35</f>
        <v>4.50044791666667</v>
      </c>
      <c r="F83" s="0"/>
      <c r="G83" s="1" t="n">
        <f aca="false">(G35+E35)/B35</f>
        <v>11.0270104166667</v>
      </c>
      <c r="H83" s="1" t="n">
        <f aca="false">(H35+E35)/B35</f>
        <v>6.06503125</v>
      </c>
      <c r="I83" s="1" t="n">
        <f aca="false">(I35+E35)/B35</f>
        <v>4.50044791666667</v>
      </c>
      <c r="J83" s="1" t="n">
        <f aca="false">(J35+E35)/B35</f>
        <v>4.50044791666667</v>
      </c>
      <c r="K83" s="1" t="n">
        <f aca="false">(K35+E35)/B35</f>
        <v>4.50044791666667</v>
      </c>
      <c r="L83" s="1" t="n">
        <f aca="false">(L35+E35)/B35</f>
        <v>4.50044791666667</v>
      </c>
      <c r="M83" s="1" t="n">
        <f aca="false">(M35+E35)/B35</f>
        <v>4.50044791666667</v>
      </c>
      <c r="N83" s="1" t="n">
        <f aca="false">(N35+E35)/B35</f>
        <v>4.50044791666667</v>
      </c>
      <c r="O83" s="0"/>
      <c r="P83" s="0"/>
      <c r="Q83" s="0"/>
      <c r="R83" s="0"/>
      <c r="S83" s="0"/>
    </row>
    <row r="84" customFormat="false" ht="12.8" hidden="false" customHeight="false" outlineLevel="0" collapsed="false">
      <c r="A84" s="5" t="s">
        <v>43</v>
      </c>
      <c r="B84" s="1" t="n">
        <f aca="false">B36/B36</f>
        <v>1</v>
      </c>
      <c r="C84" s="0"/>
      <c r="D84" s="1" t="n">
        <f aca="false">D36/B36</f>
        <v>4.52705729166667</v>
      </c>
      <c r="E84" s="1" t="n">
        <f aca="false">E36/B36</f>
        <v>4.73053125</v>
      </c>
      <c r="F84" s="0"/>
      <c r="G84" s="1" t="n">
        <f aca="false">(G36+E36)/B36</f>
        <v>9.90709375</v>
      </c>
      <c r="H84" s="1" t="n">
        <f aca="false">(H36+E36)/B36</f>
        <v>5.69980208333333</v>
      </c>
      <c r="I84" s="1" t="n">
        <f aca="false">(I36+E36)/B36</f>
        <v>5.69980208333333</v>
      </c>
      <c r="J84" s="1" t="n">
        <f aca="false">(J36+E36)/B36</f>
        <v>4.73053125</v>
      </c>
      <c r="K84" s="1" t="n">
        <f aca="false">(K36+E36)/B36</f>
        <v>4.73053125</v>
      </c>
      <c r="L84" s="1" t="n">
        <f aca="false">(L36+E36)/B36</f>
        <v>5.69980208333333</v>
      </c>
      <c r="M84" s="1" t="n">
        <f aca="false">(M36+E36)/B36</f>
        <v>4.73053125</v>
      </c>
      <c r="N84" s="1" t="n">
        <f aca="false">(N36+E36)/B36</f>
        <v>4.73053125</v>
      </c>
      <c r="O84" s="0"/>
      <c r="P84" s="0"/>
      <c r="Q84" s="0"/>
      <c r="R84" s="0"/>
      <c r="S84" s="0"/>
    </row>
    <row r="85" customFormat="false" ht="12.8" hidden="false" customHeight="false" outlineLevel="0" collapsed="false">
      <c r="A85" s="5" t="s">
        <v>44</v>
      </c>
      <c r="B85" s="1" t="n">
        <f aca="false">B37/B37</f>
        <v>1</v>
      </c>
      <c r="C85" s="0"/>
      <c r="D85" s="1" t="n">
        <f aca="false">D37/B37</f>
        <v>4.41088020833333</v>
      </c>
      <c r="E85" s="1" t="n">
        <f aca="false">E37/B37</f>
        <v>4.425390625</v>
      </c>
      <c r="F85" s="0"/>
      <c r="G85" s="1" t="n">
        <f aca="false">(G37+E37)/B37</f>
        <v>4.44518229166667</v>
      </c>
      <c r="H85" s="1" t="n">
        <f aca="false">(H37+E37)/B37</f>
        <v>4.42591145833333</v>
      </c>
      <c r="I85" s="1" t="n">
        <f aca="false">(I37+E37)/B37</f>
        <v>4.425390625</v>
      </c>
      <c r="J85" s="1" t="n">
        <f aca="false">(J37+E37)/B37</f>
        <v>4.425390625</v>
      </c>
      <c r="K85" s="1" t="n">
        <f aca="false">(K37+E37)/B37</f>
        <v>4.425390625</v>
      </c>
      <c r="L85" s="1" t="n">
        <f aca="false">(L37+E37)/B37</f>
        <v>4.425390625</v>
      </c>
      <c r="M85" s="1" t="n">
        <f aca="false">(M37+E37)/B37</f>
        <v>4.425390625</v>
      </c>
      <c r="N85" s="1" t="n">
        <f aca="false">(N37+E37)/B37</f>
        <v>4.425390625</v>
      </c>
      <c r="O85" s="0"/>
      <c r="P85" s="0"/>
      <c r="Q85" s="0"/>
      <c r="R85" s="0"/>
      <c r="S85" s="0"/>
    </row>
    <row r="86" customFormat="false" ht="12.8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</row>
    <row r="87" customFormat="false" ht="12.8" hidden="false" customHeight="false" outlineLevel="0" collapsed="false">
      <c r="A87" s="5" t="s">
        <v>45</v>
      </c>
      <c r="B87" s="1" t="n">
        <f aca="false">B39/B39</f>
        <v>1</v>
      </c>
      <c r="C87" s="0"/>
      <c r="D87" s="1" t="n">
        <f aca="false">D39/B39</f>
        <v>1.87433157894737</v>
      </c>
      <c r="E87" s="1" t="n">
        <f aca="false">E39/B39</f>
        <v>1.85040526315789</v>
      </c>
      <c r="F87" s="0"/>
      <c r="G87" s="1" t="n">
        <f aca="false">(G39+E39)/B39</f>
        <v>16.4935631578947</v>
      </c>
      <c r="H87" s="1" t="n">
        <f aca="false">(H39+E39)/B39</f>
        <v>5.91777368421053</v>
      </c>
      <c r="I87" s="1" t="n">
        <f aca="false">(I39+E39)/B39</f>
        <v>1.85040526315789</v>
      </c>
      <c r="J87" s="1" t="n">
        <f aca="false">(J39+E39)/B39</f>
        <v>2.46040526315789</v>
      </c>
      <c r="K87" s="1" t="n">
        <f aca="false">(K39+E39)/B39</f>
        <v>1.85040526315789</v>
      </c>
      <c r="L87" s="1" t="n">
        <f aca="false">(L39+E39)/B39</f>
        <v>1.85040526315789</v>
      </c>
      <c r="M87" s="1" t="n">
        <f aca="false">(M39+E39)/B39</f>
        <v>1.85040526315789</v>
      </c>
      <c r="N87" s="1" t="n">
        <f aca="false">(N39+E39)/B39</f>
        <v>1.85040526315789</v>
      </c>
      <c r="O87" s="0"/>
      <c r="P87" s="0"/>
      <c r="Q87" s="0"/>
      <c r="R87" s="0"/>
      <c r="S87" s="0"/>
    </row>
    <row r="88" customFormat="false" ht="12.8" hidden="false" customHeight="false" outlineLevel="0" collapsed="false">
      <c r="A88" s="5" t="s">
        <v>46</v>
      </c>
      <c r="B88" s="1" t="n">
        <f aca="false">B40/B40</f>
        <v>1</v>
      </c>
      <c r="C88" s="0"/>
      <c r="D88" s="1" t="n">
        <f aca="false">D40/B40</f>
        <v>1.75483157894737</v>
      </c>
      <c r="E88" s="1" t="n">
        <f aca="false">E40/B40</f>
        <v>1.75692631578947</v>
      </c>
      <c r="F88" s="0"/>
      <c r="G88" s="1" t="n">
        <f aca="false">(G40+E40)/B40</f>
        <v>4.93955789473684</v>
      </c>
      <c r="H88" s="1" t="n">
        <f aca="false">(H40+E40)/B40</f>
        <v>1.75692631578947</v>
      </c>
      <c r="I88" s="1" t="n">
        <f aca="false">(I40+E40)/B40</f>
        <v>1.75692631578947</v>
      </c>
      <c r="J88" s="1" t="n">
        <f aca="false">(J40+E40)/B40</f>
        <v>1.75692631578947</v>
      </c>
      <c r="K88" s="1" t="n">
        <f aca="false">(K40+E40)/B40</f>
        <v>1.75692631578947</v>
      </c>
      <c r="L88" s="1" t="n">
        <f aca="false">(L40+E40)/B40</f>
        <v>1.75692631578947</v>
      </c>
      <c r="M88" s="1" t="n">
        <f aca="false">(M40+E40)/B40</f>
        <v>1.75692631578947</v>
      </c>
      <c r="N88" s="1" t="n">
        <f aca="false">(N40+E40)/B40</f>
        <v>1.75692631578947</v>
      </c>
      <c r="O88" s="0"/>
      <c r="P88" s="0"/>
      <c r="Q88" s="0"/>
      <c r="R88" s="0"/>
      <c r="S88" s="0"/>
    </row>
    <row r="89" customFormat="false" ht="12.8" hidden="false" customHeight="false" outlineLevel="0" collapsed="false">
      <c r="A89" s="5" t="s">
        <v>47</v>
      </c>
      <c r="B89" s="1" t="n">
        <f aca="false">B41/B41</f>
        <v>1</v>
      </c>
      <c r="C89" s="0"/>
      <c r="D89" s="1" t="n">
        <f aca="false">D41/B41</f>
        <v>1.8025</v>
      </c>
      <c r="E89" s="1" t="n">
        <f aca="false">E41/B41</f>
        <v>1.82531052631579</v>
      </c>
      <c r="F89" s="0"/>
      <c r="G89" s="1" t="n">
        <f aca="false">(G41+E41)/B41</f>
        <v>1.82531052631579</v>
      </c>
      <c r="H89" s="1" t="n">
        <f aca="false">(H41+E41)/B41</f>
        <v>1.82531052631579</v>
      </c>
      <c r="I89" s="1" t="n">
        <f aca="false">(I41+E41)/B41</f>
        <v>1.82531052631579</v>
      </c>
      <c r="J89" s="1" t="n">
        <f aca="false">(J41+E41)/B41</f>
        <v>1.82531052631579</v>
      </c>
      <c r="K89" s="1" t="n">
        <f aca="false">(K41+E41)/B41</f>
        <v>1.82531052631579</v>
      </c>
      <c r="L89" s="1" t="n">
        <f aca="false">(L41+E41)/B41</f>
        <v>1.82531052631579</v>
      </c>
      <c r="M89" s="1" t="n">
        <f aca="false">(M41+E41)/B41</f>
        <v>1.82531052631579</v>
      </c>
      <c r="N89" s="1" t="n">
        <f aca="false">(N41+E41)/B41</f>
        <v>1.82531052631579</v>
      </c>
      <c r="O89" s="0"/>
      <c r="P89" s="0"/>
      <c r="Q89" s="0"/>
      <c r="R89" s="0"/>
      <c r="S89" s="0"/>
    </row>
    <row r="90" customFormat="false" ht="12.8" hidden="false" customHeight="false" outlineLevel="0" collapsed="false">
      <c r="A90" s="5" t="s">
        <v>48</v>
      </c>
      <c r="B90" s="1" t="n">
        <f aca="false">B42/B42</f>
        <v>1</v>
      </c>
      <c r="C90" s="0"/>
      <c r="D90" s="1" t="n">
        <f aca="false">D42/B42</f>
        <v>1.73989473684211</v>
      </c>
      <c r="E90" s="1" t="n">
        <f aca="false">E42/B42</f>
        <v>1.68325789473684</v>
      </c>
      <c r="F90" s="0"/>
      <c r="G90" s="1" t="n">
        <f aca="false">(G42+E42)/B42</f>
        <v>1.68325789473684</v>
      </c>
      <c r="H90" s="1" t="n">
        <f aca="false">(H42+E42)/B42</f>
        <v>1.68325789473684</v>
      </c>
      <c r="I90" s="1" t="n">
        <f aca="false">(I42+E42)/B42</f>
        <v>1.68325789473684</v>
      </c>
      <c r="J90" s="1" t="n">
        <f aca="false">(J42+E42)/B42</f>
        <v>1.68325789473684</v>
      </c>
      <c r="K90" s="1" t="n">
        <f aca="false">(K42+E42)/B42</f>
        <v>1.68325789473684</v>
      </c>
      <c r="L90" s="1" t="n">
        <f aca="false">(L42+E42)/B42</f>
        <v>1.68325789473684</v>
      </c>
      <c r="M90" s="1" t="n">
        <f aca="false">(M42+E42)/B42</f>
        <v>1.68325789473684</v>
      </c>
      <c r="N90" s="1" t="n">
        <f aca="false">(N42+E42)/B42</f>
        <v>1.68325789473684</v>
      </c>
      <c r="O90" s="0"/>
      <c r="P90" s="0"/>
      <c r="Q90" s="0"/>
      <c r="R90" s="0"/>
      <c r="S90" s="0"/>
    </row>
    <row r="91" customFormat="false" ht="12.8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</row>
    <row r="92" customFormat="false" ht="12.8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</row>
    <row r="93" customFormat="false" ht="12.8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</row>
    <row r="94" customFormat="false" ht="12.8" hidden="false" customHeight="false" outlineLevel="0" collapsed="false">
      <c r="A94" s="0"/>
      <c r="B94" s="0"/>
      <c r="C94" s="0"/>
      <c r="D94" s="3" t="s">
        <v>54</v>
      </c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</row>
    <row r="95" customFormat="false" ht="12.8" hidden="false" customHeight="false" outlineLevel="0" collapsed="false">
      <c r="A95" s="0"/>
      <c r="B95" s="0"/>
      <c r="C95" s="3" t="s">
        <v>55</v>
      </c>
      <c r="D95" s="3" t="s">
        <v>56</v>
      </c>
      <c r="E95" s="3" t="s">
        <v>57</v>
      </c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</row>
    <row r="96" customFormat="false" ht="12.8" hidden="false" customHeight="false" outlineLevel="0" collapsed="false">
      <c r="A96" s="1" t="s">
        <v>58</v>
      </c>
      <c r="B96" s="0"/>
      <c r="C96" s="1" t="n">
        <f aca="false">D7/B7</f>
        <v>6.74380714285714</v>
      </c>
      <c r="D96" s="5" t="n">
        <f aca="false">E5/B5</f>
        <v>7.00735714285714</v>
      </c>
      <c r="E96" s="1" t="n">
        <f aca="false">(N5+E5)/B5</f>
        <v>7.00735714285714</v>
      </c>
      <c r="F96" s="0"/>
      <c r="G96" s="1" t="s">
        <v>59</v>
      </c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</row>
    <row r="97" customFormat="false" ht="12.8" hidden="false" customHeight="false" outlineLevel="0" collapsed="false">
      <c r="A97" s="1" t="s">
        <v>60</v>
      </c>
      <c r="B97" s="0"/>
      <c r="C97" s="1" t="n">
        <f aca="false">D12/B12</f>
        <v>9.98496240601504</v>
      </c>
      <c r="D97" s="1" t="n">
        <f aca="false">E12/B12</f>
        <v>10.4369172932331</v>
      </c>
      <c r="E97" s="1" t="n">
        <f aca="false">(N10+E10)/B10</f>
        <v>22.046992481203</v>
      </c>
      <c r="F97" s="0"/>
      <c r="G97" s="1" t="s">
        <v>59</v>
      </c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</row>
    <row r="98" customFormat="false" ht="12.8" hidden="false" customHeight="false" outlineLevel="0" collapsed="false">
      <c r="A98" s="1" t="s">
        <v>61</v>
      </c>
      <c r="B98" s="0"/>
      <c r="C98" s="1" t="n">
        <f aca="false">D17/B17</f>
        <v>19.9743065693431</v>
      </c>
      <c r="D98" s="1" t="n">
        <f aca="false">E17/B17</f>
        <v>20.4757664233577</v>
      </c>
      <c r="E98" s="1" t="n">
        <f aca="false">(N15+E15)/B15</f>
        <v>32.0889781021898</v>
      </c>
      <c r="F98" s="0"/>
      <c r="G98" s="1" t="s">
        <v>59</v>
      </c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</row>
    <row r="99" customFormat="false" ht="12.8" hidden="false" customHeight="false" outlineLevel="0" collapsed="false">
      <c r="A99" s="1" t="s">
        <v>62</v>
      </c>
      <c r="B99" s="0"/>
      <c r="C99" s="1" t="n">
        <f aca="false">D22/B22</f>
        <v>10.4348205128205</v>
      </c>
      <c r="D99" s="1" t="n">
        <f aca="false">E22/B22</f>
        <v>11.1555897435897</v>
      </c>
      <c r="E99" s="1" t="n">
        <f aca="false">(N20+E20)/B20</f>
        <v>27.3980512820513</v>
      </c>
      <c r="F99" s="0"/>
      <c r="G99" s="1" t="s">
        <v>59</v>
      </c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</row>
    <row r="100" customFormat="false" ht="12.8" hidden="false" customHeight="false" outlineLevel="0" collapsed="false">
      <c r="A100" s="1" t="s">
        <v>63</v>
      </c>
      <c r="B100" s="0"/>
      <c r="C100" s="1" t="n">
        <f aca="false">D32/B32</f>
        <v>11.4438743455497</v>
      </c>
      <c r="D100" s="1" t="n">
        <f aca="false">E32/B32</f>
        <v>11.8950261780105</v>
      </c>
      <c r="E100" s="1" t="n">
        <f aca="false">(N32+E32)/B32</f>
        <v>11.8950261780105</v>
      </c>
      <c r="F100" s="0"/>
      <c r="G100" s="1" t="s">
        <v>64</v>
      </c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</row>
    <row r="101" customFormat="false" ht="12.8" hidden="false" customHeight="false" outlineLevel="0" collapsed="false">
      <c r="A101" s="1" t="s">
        <v>65</v>
      </c>
      <c r="B101" s="0"/>
      <c r="C101" s="1" t="n">
        <f aca="false">D27/B27</f>
        <v>16.1462886597938</v>
      </c>
      <c r="D101" s="1" t="n">
        <f aca="false">E27/B27</f>
        <v>16.3973711340206</v>
      </c>
      <c r="E101" s="1" t="n">
        <f aca="false">(N27+E27)/B27</f>
        <v>16.3973711340206</v>
      </c>
      <c r="F101" s="0"/>
      <c r="G101" s="1" t="s">
        <v>64</v>
      </c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</row>
    <row r="102" customFormat="false" ht="12.8" hidden="false" customHeight="false" outlineLevel="0" collapsed="false">
      <c r="A102" s="1" t="s">
        <v>66</v>
      </c>
      <c r="B102" s="0"/>
      <c r="C102" s="1" t="n">
        <f aca="false">D42/B42</f>
        <v>1.73989473684211</v>
      </c>
      <c r="D102" s="1" t="n">
        <f aca="false">E42/B42</f>
        <v>1.68325789473684</v>
      </c>
      <c r="E102" s="1" t="n">
        <f aca="false">(N42+E42)/B42</f>
        <v>1.68325789473684</v>
      </c>
      <c r="F102" s="0"/>
      <c r="G102" s="1" t="s">
        <v>64</v>
      </c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</row>
    <row r="103" customFormat="false" ht="12.8" hidden="false" customHeight="false" outlineLevel="0" collapsed="false">
      <c r="A103" s="1" t="s">
        <v>67</v>
      </c>
      <c r="B103" s="0"/>
      <c r="C103" s="1" t="n">
        <f aca="false">D37/B37</f>
        <v>4.41088020833333</v>
      </c>
      <c r="D103" s="1" t="n">
        <f aca="false">E37/B37</f>
        <v>4.425390625</v>
      </c>
      <c r="E103" s="1" t="n">
        <f aca="false">(N37+E37)/B37</f>
        <v>4.425390625</v>
      </c>
      <c r="F103" s="0"/>
      <c r="G103" s="1" t="s">
        <v>64</v>
      </c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1" t="n">
        <v>50</v>
      </c>
      <c r="H118" s="1" t="n">
        <v>100</v>
      </c>
      <c r="I118" s="1" t="n">
        <v>150</v>
      </c>
      <c r="J118" s="1" t="n">
        <v>200</v>
      </c>
      <c r="K118" s="1" t="n">
        <v>250</v>
      </c>
      <c r="L118" s="1" t="n">
        <v>300</v>
      </c>
      <c r="M118" s="1" t="n">
        <v>350</v>
      </c>
      <c r="N118" s="1" t="n">
        <v>400</v>
      </c>
      <c r="O118" s="0"/>
      <c r="P118" s="0"/>
      <c r="Q118" s="0"/>
      <c r="R118" s="0"/>
      <c r="S118" s="0"/>
    </row>
    <row r="119" customFormat="false" ht="12.8" hidden="false" customHeight="false" outlineLevel="0" collapsed="false">
      <c r="A119" s="1" t="s">
        <v>68</v>
      </c>
      <c r="B119" s="3" t="s">
        <v>69</v>
      </c>
      <c r="C119" s="3"/>
      <c r="D119" s="3" t="s">
        <v>55</v>
      </c>
      <c r="E119" s="3" t="s">
        <v>56</v>
      </c>
      <c r="F119" s="3"/>
      <c r="G119" s="3" t="s">
        <v>70</v>
      </c>
      <c r="H119" s="3" t="s">
        <v>71</v>
      </c>
      <c r="I119" s="3" t="s">
        <v>72</v>
      </c>
      <c r="J119" s="3" t="s">
        <v>73</v>
      </c>
      <c r="K119" s="3" t="s">
        <v>74</v>
      </c>
      <c r="L119" s="3" t="s">
        <v>75</v>
      </c>
      <c r="M119" s="3" t="s">
        <v>76</v>
      </c>
      <c r="N119" s="3" t="s">
        <v>77</v>
      </c>
      <c r="O119" s="3"/>
      <c r="P119" s="3"/>
      <c r="Q119" s="3"/>
      <c r="R119" s="3"/>
      <c r="S119" s="3"/>
    </row>
    <row r="120" customFormat="false" ht="12.8" hidden="false" customHeight="false" outlineLevel="0" collapsed="false">
      <c r="A120" s="1" t="s">
        <v>78</v>
      </c>
    </row>
    <row r="121" customFormat="false" ht="12.8" hidden="false" customHeight="false" outlineLevel="0" collapsed="false">
      <c r="A121" s="1" t="s">
        <v>79</v>
      </c>
    </row>
    <row r="122" customFormat="false" ht="12.8" hidden="false" customHeight="false" outlineLevel="0" collapsed="false">
      <c r="A122" s="1" t="s">
        <v>80</v>
      </c>
    </row>
    <row r="123" customFormat="false" ht="12.8" hidden="false" customHeight="false" outlineLevel="0" collapsed="false">
      <c r="A123" s="1" t="s">
        <v>81</v>
      </c>
    </row>
    <row r="124" customFormat="false" ht="12.8" hidden="false" customHeight="false" outlineLevel="0" collapsed="false">
      <c r="A124" s="1" t="s">
        <v>82</v>
      </c>
    </row>
    <row r="125" customFormat="false" ht="12.8" hidden="false" customHeight="false" outlineLevel="0" collapsed="false">
      <c r="A125" s="0"/>
    </row>
    <row r="126" customFormat="false" ht="12.8" hidden="false" customHeight="false" outlineLevel="0" collapsed="false">
      <c r="A126" s="1" t="s">
        <v>83</v>
      </c>
    </row>
    <row r="127" customFormat="false" ht="12.8" hidden="false" customHeight="false" outlineLevel="0" collapsed="false">
      <c r="A127" s="1" t="s">
        <v>84</v>
      </c>
    </row>
    <row r="128" customFormat="false" ht="12.8" hidden="false" customHeight="false" outlineLevel="0" collapsed="false">
      <c r="A128" s="1" t="s">
        <v>85</v>
      </c>
    </row>
    <row r="129" customFormat="false" ht="12.8" hidden="false" customHeight="false" outlineLevel="0" collapsed="false">
      <c r="A129" s="1" t="s">
        <v>86</v>
      </c>
    </row>
    <row r="130" customFormat="false" ht="12.8" hidden="false" customHeight="false" outlineLevel="0" collapsed="false">
      <c r="A130" s="0"/>
    </row>
    <row r="131" customFormat="false" ht="12.8" hidden="false" customHeight="false" outlineLevel="0" collapsed="false">
      <c r="A131" s="0"/>
    </row>
    <row r="132" customFormat="false" ht="12.8" hidden="false" customHeight="false" outlineLevel="0" collapsed="false">
      <c r="A132" s="1" t="s">
        <v>87</v>
      </c>
    </row>
    <row r="133" customFormat="false" ht="12.8" hidden="false" customHeight="false" outlineLevel="0" collapsed="false">
      <c r="A133" s="1" t="s">
        <v>88</v>
      </c>
    </row>
    <row r="134" customFormat="false" ht="12.8" hidden="false" customHeight="false" outlineLevel="0" collapsed="false">
      <c r="A134" s="1" t="s">
        <v>89</v>
      </c>
    </row>
    <row r="135" customFormat="false" ht="12.8" hidden="false" customHeight="false" outlineLevel="0" collapsed="false">
      <c r="A135" s="1" t="s">
        <v>90</v>
      </c>
    </row>
    <row r="136" customFormat="false" ht="12.8" hidden="false" customHeight="false" outlineLevel="0" collapsed="false">
      <c r="A136" s="1" t="s">
        <v>91</v>
      </c>
    </row>
    <row r="137" customFormat="false" ht="12.8" hidden="false" customHeight="false" outlineLevel="0" collapsed="false">
      <c r="A137" s="1" t="s">
        <v>92</v>
      </c>
    </row>
    <row r="138" customFormat="false" ht="12.8" hidden="false" customHeight="false" outlineLevel="0" collapsed="false">
      <c r="A138" s="1" t="s">
        <v>93</v>
      </c>
    </row>
    <row r="139" customFormat="false" ht="12.8" hidden="false" customHeight="false" outlineLevel="0" collapsed="false">
      <c r="A139" s="1" t="s">
        <v>94</v>
      </c>
    </row>
    <row r="140" customFormat="false" ht="12.8" hidden="false" customHeight="false" outlineLevel="0" collapsed="false">
      <c r="A140" s="0"/>
    </row>
    <row r="141" customFormat="false" ht="12.8" hidden="false" customHeight="false" outlineLevel="0" collapsed="false">
      <c r="A141" s="0"/>
    </row>
    <row r="142" customFormat="false" ht="12.8" hidden="false" customHeight="false" outlineLevel="0" collapsed="false">
      <c r="A142" s="1" t="n">
        <v>16</v>
      </c>
    </row>
    <row r="143" customFormat="false" ht="12.8" hidden="false" customHeight="false" outlineLevel="0" collapsed="false">
      <c r="A143" s="1" t="n">
        <v>32</v>
      </c>
    </row>
    <row r="144" customFormat="false" ht="12.8" hidden="false" customHeight="false" outlineLevel="0" collapsed="false">
      <c r="A144" s="1" t="n">
        <v>48</v>
      </c>
    </row>
    <row r="145" customFormat="false" ht="12.8" hidden="false" customHeight="false" outlineLevel="0" collapsed="false">
      <c r="A145" s="1" t="n">
        <v>64</v>
      </c>
    </row>
    <row r="146" customFormat="false" ht="12.8" hidden="false" customHeight="false" outlineLevel="0" collapsed="false">
      <c r="A146" s="1" t="n">
        <v>80</v>
      </c>
    </row>
    <row r="147" customFormat="false" ht="12.8" hidden="false" customHeight="false" outlineLevel="0" collapsed="false">
      <c r="A147" s="0"/>
    </row>
    <row r="148" customFormat="false" ht="12.8" hidden="false" customHeight="false" outlineLevel="0" collapsed="false">
      <c r="A148" s="0"/>
    </row>
    <row r="149" customFormat="false" ht="12.8" hidden="false" customHeight="false" outlineLevel="0" collapsed="false">
      <c r="A149" s="1" t="s">
        <v>95</v>
      </c>
    </row>
    <row r="150" customFormat="false" ht="12.8" hidden="false" customHeight="false" outlineLevel="0" collapsed="false">
      <c r="A150" s="1" t="s">
        <v>96</v>
      </c>
    </row>
    <row r="151" customFormat="false" ht="12.8" hidden="false" customHeight="false" outlineLevel="0" collapsed="false">
      <c r="A151" s="1" t="s">
        <v>97</v>
      </c>
    </row>
    <row r="152" customFormat="false" ht="12.8" hidden="false" customHeight="false" outlineLevel="0" collapsed="false">
      <c r="A152" s="1" t="s">
        <v>98</v>
      </c>
    </row>
    <row r="153" customFormat="false" ht="12.8" hidden="false" customHeight="false" outlineLevel="0" collapsed="false">
      <c r="A153" s="1" t="s">
        <v>99</v>
      </c>
    </row>
    <row r="154" customFormat="false" ht="12.8" hidden="false" customHeight="false" outlineLevel="0" collapsed="false">
      <c r="A154" s="0"/>
    </row>
    <row r="155" customFormat="false" ht="12.8" hidden="false" customHeight="false" outlineLevel="0" collapsed="false">
      <c r="A155" s="1" t="s">
        <v>100</v>
      </c>
    </row>
    <row r="156" customFormat="false" ht="12.8" hidden="false" customHeight="false" outlineLevel="0" collapsed="false">
      <c r="A156" s="1" t="s">
        <v>101</v>
      </c>
    </row>
    <row r="157" customFormat="false" ht="12.8" hidden="false" customHeight="false" outlineLevel="0" collapsed="false">
      <c r="A157" s="0"/>
    </row>
    <row r="158" customFormat="false" ht="12.8" hidden="false" customHeight="false" outlineLevel="0" collapsed="false">
      <c r="A158" s="1" t="s">
        <v>58</v>
      </c>
    </row>
    <row r="159" customFormat="false" ht="12.8" hidden="false" customHeight="false" outlineLevel="0" collapsed="false">
      <c r="A159" s="1" t="s">
        <v>60</v>
      </c>
    </row>
    <row r="160" customFormat="false" ht="12.8" hidden="false" customHeight="false" outlineLevel="0" collapsed="false">
      <c r="A160" s="1" t="s">
        <v>61</v>
      </c>
    </row>
    <row r="161" customFormat="false" ht="12.8" hidden="false" customHeight="false" outlineLevel="0" collapsed="false">
      <c r="A161" s="1" t="s">
        <v>62</v>
      </c>
    </row>
    <row r="162" customFormat="false" ht="12.8" hidden="false" customHeight="false" outlineLevel="0" collapsed="false">
      <c r="A162" s="1" t="s">
        <v>63</v>
      </c>
    </row>
    <row r="163" customFormat="false" ht="12.8" hidden="false" customHeight="false" outlineLevel="0" collapsed="false">
      <c r="A163" s="1" t="s">
        <v>65</v>
      </c>
    </row>
    <row r="164" customFormat="false" ht="12.8" hidden="false" customHeight="false" outlineLevel="0" collapsed="false">
      <c r="A164" s="1" t="s">
        <v>66</v>
      </c>
    </row>
    <row r="165" customFormat="false" ht="12.8" hidden="false" customHeight="false" outlineLevel="0" collapsed="false">
      <c r="A165" s="1" t="s">
        <v>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&amp;CΣελίδα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14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K102" activeCellId="0" sqref="K102"/>
    </sheetView>
  </sheetViews>
  <sheetFormatPr defaultRowHeight="12.8"/>
  <cols>
    <col collapsed="false" hidden="false" max="1" min="1" style="1" width="32.8010204081633"/>
    <col collapsed="false" hidden="false" max="2" min="2" style="1" width="27.2704081632653"/>
    <col collapsed="false" hidden="false" max="4" min="3" style="1" width="32.8010204081633"/>
    <col collapsed="false" hidden="false" max="5" min="5" style="1" width="25.1071428571429"/>
    <col collapsed="false" hidden="false" max="10" min="6" style="1" width="33.2091836734694"/>
    <col collapsed="false" hidden="false" max="11" min="11" style="1" width="35.0969387755102"/>
    <col collapsed="false" hidden="false" max="12" min="12" style="1" width="45.6275510204082"/>
    <col collapsed="false" hidden="false" max="13" min="13" style="1" width="32.9387755102041"/>
    <col collapsed="false" hidden="false" max="15" min="14" style="1" width="32.6683673469388"/>
    <col collapsed="false" hidden="false" max="18" min="16" style="1" width="34.5561224489796"/>
    <col collapsed="false" hidden="false" max="23" min="19" style="0" width="33.2091836734694"/>
    <col collapsed="false" hidden="false" max="24" min="24" style="0" width="35.0969387755102"/>
    <col collapsed="false" hidden="false" max="1019" min="25" style="1" width="10.6632653061225"/>
    <col collapsed="false" hidden="false" max="1025" min="1020" style="0" width="8.36734693877551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 t="s">
        <v>3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  <c r="N1" s="4" t="s">
        <v>110</v>
      </c>
      <c r="O1" s="4" t="s">
        <v>111</v>
      </c>
      <c r="P1" s="4" t="s">
        <v>5</v>
      </c>
      <c r="Q1" s="4" t="s">
        <v>6</v>
      </c>
      <c r="R1" s="4" t="s">
        <v>7</v>
      </c>
    </row>
    <row r="2" customFormat="false" ht="46.25" hidden="false" customHeight="false" outlineLevel="0" collapsed="false">
      <c r="A2" s="4" t="s">
        <v>12</v>
      </c>
      <c r="B2" s="1" t="s">
        <v>13</v>
      </c>
      <c r="C2" s="0"/>
      <c r="D2" s="5" t="s">
        <v>14</v>
      </c>
      <c r="E2" s="2" t="s">
        <v>15</v>
      </c>
      <c r="F2" s="1" t="s">
        <v>112</v>
      </c>
      <c r="G2" s="0"/>
      <c r="H2" s="0"/>
      <c r="I2" s="0"/>
      <c r="J2" s="0"/>
      <c r="K2" s="0"/>
      <c r="L2" s="2" t="s">
        <v>16</v>
      </c>
      <c r="M2" s="0"/>
      <c r="N2" s="0"/>
      <c r="O2" s="0"/>
      <c r="P2" s="0"/>
      <c r="Q2" s="0"/>
      <c r="R2" s="0"/>
    </row>
    <row r="3" customFormat="false" ht="12.8" hidden="false" customHeight="false" outlineLevel="0" collapsed="false">
      <c r="A3" s="1" t="s">
        <v>50</v>
      </c>
      <c r="B3" s="1" t="n">
        <v>1.47</v>
      </c>
      <c r="C3" s="0"/>
      <c r="D3" s="1" t="n">
        <v>28.6082</v>
      </c>
      <c r="E3" s="1" t="n">
        <v>29.0939</v>
      </c>
      <c r="F3" s="1" t="n">
        <v>475.009</v>
      </c>
      <c r="G3" s="1" t="n">
        <v>458.91</v>
      </c>
      <c r="H3" s="1" t="n">
        <v>430.755</v>
      </c>
      <c r="I3" s="1" t="n">
        <v>433.297</v>
      </c>
      <c r="J3" s="1" t="n">
        <v>410.951</v>
      </c>
      <c r="K3" s="1" t="n">
        <v>404.004</v>
      </c>
      <c r="L3" s="1" t="n">
        <v>366.293</v>
      </c>
      <c r="M3" s="1" t="n">
        <v>300.087</v>
      </c>
      <c r="N3" s="1" t="n">
        <v>288.879</v>
      </c>
      <c r="O3" s="1" t="n">
        <v>283.647</v>
      </c>
      <c r="P3" s="1" t="n">
        <v>275.785</v>
      </c>
      <c r="Q3" s="1" t="n">
        <v>196.236</v>
      </c>
      <c r="R3" s="1" t="n">
        <v>131.967</v>
      </c>
    </row>
    <row r="4" customFormat="false" ht="12.8" hidden="false" customHeight="false" outlineLevel="0" collapsed="false">
      <c r="A4" s="1" t="s">
        <v>51</v>
      </c>
      <c r="B4" s="1" t="n">
        <v>1.47</v>
      </c>
      <c r="C4" s="0"/>
      <c r="D4" s="1" t="n">
        <v>26.2797</v>
      </c>
      <c r="E4" s="1" t="n">
        <v>26.6358</v>
      </c>
      <c r="F4" s="1" t="n">
        <v>388.83</v>
      </c>
      <c r="G4" s="1" t="n">
        <v>367.272</v>
      </c>
      <c r="H4" s="1" t="n">
        <v>329.566</v>
      </c>
      <c r="I4" s="1" t="n">
        <v>328.401</v>
      </c>
      <c r="J4" s="1" t="n">
        <v>293.409</v>
      </c>
      <c r="K4" s="1" t="n">
        <v>283.426</v>
      </c>
      <c r="L4" s="1" t="n">
        <v>225.048</v>
      </c>
      <c r="M4" s="1" t="n">
        <v>200.506</v>
      </c>
      <c r="N4" s="1" t="n">
        <v>170.12</v>
      </c>
      <c r="O4" s="1" t="n">
        <v>123.198</v>
      </c>
      <c r="P4" s="1" t="n">
        <v>94.536</v>
      </c>
      <c r="Q4" s="1" t="n">
        <v>64.36</v>
      </c>
      <c r="R4" s="1" t="n">
        <v>33.755</v>
      </c>
    </row>
    <row r="5" customFormat="false" ht="12.8" hidden="false" customHeight="false" outlineLevel="0" collapsed="false">
      <c r="A5" s="1" t="s">
        <v>52</v>
      </c>
      <c r="B5" s="1" t="n">
        <v>1.47</v>
      </c>
      <c r="C5" s="0"/>
      <c r="D5" s="1" t="n">
        <v>27.0121</v>
      </c>
      <c r="E5" s="1" t="n">
        <v>27.2002</v>
      </c>
      <c r="F5" s="1" t="n">
        <v>400.18</v>
      </c>
      <c r="G5" s="1" t="n">
        <v>372.955</v>
      </c>
      <c r="H5" s="1" t="n">
        <v>322.912</v>
      </c>
      <c r="I5" s="1" t="n">
        <v>319.526</v>
      </c>
      <c r="J5" s="1" t="n">
        <v>276.565</v>
      </c>
      <c r="K5" s="1" t="n">
        <v>247.65</v>
      </c>
      <c r="L5" s="1" t="n">
        <v>204.176</v>
      </c>
      <c r="M5" s="1" t="n">
        <v>159.241</v>
      </c>
      <c r="N5" s="1" t="n">
        <v>112.834</v>
      </c>
      <c r="O5" s="1" t="n">
        <v>80.482</v>
      </c>
      <c r="P5" s="1" t="n">
        <v>56.729</v>
      </c>
      <c r="Q5" s="1" t="n">
        <v>42.595</v>
      </c>
      <c r="R5" s="1" t="n">
        <v>25.097</v>
      </c>
    </row>
    <row r="6" customFormat="false" ht="12.8" hidden="false" customHeight="false" outlineLevel="0" collapsed="false">
      <c r="A6" s="1" t="s">
        <v>53</v>
      </c>
      <c r="B6" s="1" t="n">
        <v>1.47</v>
      </c>
      <c r="C6" s="0"/>
      <c r="D6" s="1" t="n">
        <v>25.6979</v>
      </c>
      <c r="E6" s="1" t="n">
        <v>26.2987</v>
      </c>
      <c r="F6" s="1" t="n">
        <v>428.342</v>
      </c>
      <c r="G6" s="1" t="n">
        <v>394.902</v>
      </c>
      <c r="H6" s="1" t="n">
        <v>334.581</v>
      </c>
      <c r="I6" s="1" t="n">
        <v>329.727</v>
      </c>
      <c r="J6" s="1" t="n">
        <v>274.104</v>
      </c>
      <c r="K6" s="1" t="n">
        <v>263.95</v>
      </c>
      <c r="L6" s="1" t="n">
        <v>200.086</v>
      </c>
      <c r="M6" s="1" t="n">
        <v>134.606</v>
      </c>
      <c r="N6" s="1" t="n">
        <v>86.773</v>
      </c>
      <c r="O6" s="1" t="n">
        <v>65.364</v>
      </c>
      <c r="P6" s="1" t="n">
        <v>54.876</v>
      </c>
      <c r="Q6" s="1" t="n">
        <v>34.5</v>
      </c>
      <c r="R6" s="1" t="n">
        <v>28.553</v>
      </c>
    </row>
    <row r="7" customFormat="false" ht="12.8" hidden="false" customHeight="false" outlineLevel="0" collapsed="false">
      <c r="A7" s="1" t="s">
        <v>113</v>
      </c>
      <c r="B7" s="1" t="n">
        <v>1.47</v>
      </c>
      <c r="C7" s="0"/>
      <c r="D7" s="1" t="n">
        <v>45.8673</v>
      </c>
      <c r="E7" s="1" t="n">
        <v>45.0352</v>
      </c>
      <c r="F7" s="1" t="n">
        <v>460.383</v>
      </c>
      <c r="G7" s="1" t="n">
        <v>421.779</v>
      </c>
      <c r="H7" s="1" t="n">
        <v>342.984</v>
      </c>
      <c r="I7" s="1" t="n">
        <v>332.235</v>
      </c>
      <c r="J7" s="1" t="n">
        <v>284.97</v>
      </c>
      <c r="K7" s="1" t="n">
        <v>261.881</v>
      </c>
      <c r="L7" s="1" t="n">
        <v>203.514</v>
      </c>
      <c r="M7" s="1" t="n">
        <v>123.848</v>
      </c>
      <c r="N7" s="1" t="n">
        <v>82.056</v>
      </c>
      <c r="O7" s="1" t="n">
        <v>61.255</v>
      </c>
      <c r="P7" s="1" t="n">
        <v>50.535</v>
      </c>
      <c r="Q7" s="1" t="n">
        <v>33.42</v>
      </c>
      <c r="R7" s="1" t="n">
        <v>32.799</v>
      </c>
    </row>
    <row r="8" customFormat="false" ht="12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</row>
    <row r="9" customFormat="false" ht="12.8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</row>
    <row r="10" customFormat="false" ht="12.8" hidden="false" customHeight="false" outlineLevel="0" collapsed="false">
      <c r="A10" s="5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</row>
    <row r="11" customFormat="false" ht="12.8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</row>
    <row r="12" customFormat="false" ht="12.8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</row>
    <row r="13" customFormat="false" ht="12.8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</row>
    <row r="14" customFormat="false" ht="12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</row>
    <row r="15" customFormat="false" ht="12.8" hidden="false" customHeight="false" outlineLevel="0" collapsed="false">
      <c r="A15" s="5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</row>
    <row r="16" customFormat="false" ht="12.8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</row>
    <row r="17" customFormat="false" ht="12.8" hidden="false" customHeight="fals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</row>
    <row r="18" customFormat="false" ht="12.8" hidden="false" customHeight="fals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</row>
    <row r="19" customFormat="false" ht="12.8" hidden="false" customHeight="fals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</row>
    <row r="20" customFormat="false" ht="12.8" hidden="false" customHeight="false" outlineLevel="0" collapsed="false">
      <c r="A20" s="5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</row>
    <row r="21" customFormat="false" ht="12.8" hidden="false" customHeight="fals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</row>
    <row r="22" customFormat="false" ht="12.8" hidden="false" customHeight="false" outlineLevel="0" collapsed="false">
      <c r="A22" s="0"/>
      <c r="B22" s="3"/>
      <c r="C22" s="3"/>
      <c r="D22" s="3"/>
      <c r="E22" s="3"/>
      <c r="F22" s="0"/>
      <c r="G22" s="0"/>
      <c r="H22" s="0"/>
      <c r="I22" s="0"/>
      <c r="J22" s="0"/>
      <c r="K22" s="0"/>
      <c r="L22" s="3"/>
      <c r="M22" s="3"/>
      <c r="N22" s="3"/>
      <c r="O22" s="3"/>
      <c r="P22" s="3"/>
      <c r="Q22" s="3"/>
      <c r="R22" s="3"/>
    </row>
    <row r="23" customFormat="false" ht="12.8" hidden="false" customHeight="false" outlineLevel="0" collapsed="false">
      <c r="A23" s="0"/>
      <c r="B23" s="3"/>
      <c r="C23" s="3"/>
      <c r="D23" s="3"/>
      <c r="E23" s="3"/>
      <c r="F23" s="0"/>
      <c r="G23" s="0"/>
      <c r="H23" s="0"/>
      <c r="I23" s="0"/>
      <c r="J23" s="0"/>
      <c r="K23" s="0"/>
      <c r="L23" s="3"/>
      <c r="M23" s="3"/>
      <c r="N23" s="3"/>
      <c r="O23" s="3"/>
      <c r="P23" s="3"/>
      <c r="Q23" s="3"/>
      <c r="R23" s="3"/>
    </row>
    <row r="24" customFormat="false" ht="17.35" hidden="false" customHeight="false" outlineLevel="0" collapsed="false">
      <c r="A24" s="6" t="s">
        <v>49</v>
      </c>
      <c r="B24" s="0"/>
      <c r="C24" s="0"/>
      <c r="D24" s="5"/>
      <c r="E24" s="5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</row>
    <row r="25" customFormat="false" ht="12.8" hidden="false" customHeight="false" outlineLevel="0" collapsed="false">
      <c r="A25" s="1" t="s">
        <v>50</v>
      </c>
      <c r="B25" s="1" t="n">
        <f aca="false">B3/B3</f>
        <v>1</v>
      </c>
      <c r="C25" s="0"/>
      <c r="D25" s="1" t="n">
        <f aca="false">D3/B3</f>
        <v>19.4613605442177</v>
      </c>
      <c r="E25" s="1" t="n">
        <f aca="false">E3/B3</f>
        <v>19.791768707483</v>
      </c>
      <c r="F25" s="1" t="n">
        <f aca="false">(F3+E3)/B3</f>
        <v>342.927142857143</v>
      </c>
      <c r="G25" s="1" t="n">
        <f aca="false">(G3+E3)/B3</f>
        <v>331.975442176871</v>
      </c>
      <c r="H25" s="1" t="n">
        <f aca="false">(H3+E3)/B3</f>
        <v>312.822380952381</v>
      </c>
      <c r="I25" s="1" t="n">
        <f aca="false">(I3+E3)/B3</f>
        <v>314.551632653061</v>
      </c>
      <c r="J25" s="1" t="n">
        <f aca="false">(J3+E3)/B3</f>
        <v>299.350272108844</v>
      </c>
      <c r="K25" s="1" t="n">
        <f aca="false">(K3+E3)/B3</f>
        <v>294.624421768708</v>
      </c>
      <c r="L25" s="1" t="n">
        <f aca="false">(L3+E3)/B3</f>
        <v>268.970680272109</v>
      </c>
      <c r="M25" s="1" t="n">
        <f aca="false">(M3+E3)/B3</f>
        <v>223.932585034014</v>
      </c>
      <c r="N25" s="1" t="n">
        <f aca="false">(N3+E3)/B3</f>
        <v>216.308095238095</v>
      </c>
      <c r="O25" s="1" t="n">
        <f aca="false">(O3+E3)/B3</f>
        <v>212.748911564626</v>
      </c>
      <c r="P25" s="1" t="n">
        <f aca="false">(P3+E3)/B3</f>
        <v>207.400612244898</v>
      </c>
      <c r="Q25" s="1" t="n">
        <f aca="false">(Q3+E3)/B3</f>
        <v>153.285646258503</v>
      </c>
      <c r="R25" s="1" t="n">
        <f aca="false">(R3+E3)/B3</f>
        <v>109.565238095238</v>
      </c>
    </row>
    <row r="26" customFormat="false" ht="12.8" hidden="false" customHeight="false" outlineLevel="0" collapsed="false">
      <c r="A26" s="1" t="s">
        <v>51</v>
      </c>
      <c r="B26" s="1" t="n">
        <f aca="false">B4/B4</f>
        <v>1</v>
      </c>
      <c r="C26" s="0"/>
      <c r="D26" s="1" t="n">
        <f aca="false">D4/B4</f>
        <v>17.8773469387755</v>
      </c>
      <c r="E26" s="1" t="n">
        <f aca="false">E4/B4</f>
        <v>18.1195918367347</v>
      </c>
      <c r="F26" s="1" t="n">
        <f aca="false">(F4+E4)/B4</f>
        <v>282.629795918367</v>
      </c>
      <c r="G26" s="1" t="n">
        <f aca="false">(G4+E4)/B4</f>
        <v>267.964489795918</v>
      </c>
      <c r="H26" s="1" t="n">
        <f aca="false">(H4+E4)/B4</f>
        <v>242.314149659864</v>
      </c>
      <c r="I26" s="1" t="n">
        <f aca="false">(I4+E4)/B4</f>
        <v>241.521632653061</v>
      </c>
      <c r="J26" s="1" t="n">
        <f aca="false">(J4+E4)/B4</f>
        <v>217.717551020408</v>
      </c>
      <c r="K26" s="1" t="n">
        <f aca="false">(K4+E4)/B4</f>
        <v>210.926394557823</v>
      </c>
      <c r="L26" s="1" t="n">
        <f aca="false">(L4+E4)/B4</f>
        <v>171.213469387755</v>
      </c>
      <c r="M26" s="1" t="n">
        <f aca="false">(M4+E4)/B4</f>
        <v>154.518231292517</v>
      </c>
      <c r="N26" s="1" t="n">
        <f aca="false">(N4+E4)/B4</f>
        <v>133.847482993197</v>
      </c>
      <c r="O26" s="1" t="n">
        <f aca="false">(O4+E4)/B4</f>
        <v>101.927755102041</v>
      </c>
      <c r="P26" s="1" t="n">
        <f aca="false">(P4+E4)/B4</f>
        <v>82.4297959183673</v>
      </c>
      <c r="Q26" s="1" t="n">
        <f aca="false">(Q4+E4)/B4</f>
        <v>61.9019047619048</v>
      </c>
      <c r="R26" s="1" t="n">
        <f aca="false">(R4+E4)/B4</f>
        <v>41.0821768707483</v>
      </c>
    </row>
    <row r="27" customFormat="false" ht="12.8" hidden="false" customHeight="false" outlineLevel="0" collapsed="false">
      <c r="A27" s="1" t="s">
        <v>52</v>
      </c>
      <c r="B27" s="1" t="n">
        <f aca="false">B5/B5</f>
        <v>1</v>
      </c>
      <c r="C27" s="0"/>
      <c r="D27" s="1" t="n">
        <f aca="false">D5/B5</f>
        <v>18.3755782312925</v>
      </c>
      <c r="E27" s="1" t="n">
        <f aca="false">E5/B5</f>
        <v>18.503537414966</v>
      </c>
      <c r="F27" s="1" t="n">
        <f aca="false">(F5+E5)/B5</f>
        <v>290.734829931973</v>
      </c>
      <c r="G27" s="1" t="n">
        <f aca="false">(G5+E5)/B5</f>
        <v>272.214421768708</v>
      </c>
      <c r="H27" s="1" t="n">
        <f aca="false">(H5+E5)/B5</f>
        <v>238.17156462585</v>
      </c>
      <c r="I27" s="1" t="n">
        <f aca="false">(I5+E5)/B5</f>
        <v>235.868163265306</v>
      </c>
      <c r="J27" s="1" t="n">
        <f aca="false">(J5+E5)/B5</f>
        <v>206.642993197279</v>
      </c>
      <c r="K27" s="1" t="n">
        <f aca="false">(K5+E5)/B5</f>
        <v>186.972925170068</v>
      </c>
      <c r="L27" s="1" t="n">
        <f aca="false">(L5+E5)/B5</f>
        <v>157.398775510204</v>
      </c>
      <c r="M27" s="1" t="n">
        <f aca="false">(M5+E5)/B5</f>
        <v>126.83074829932</v>
      </c>
      <c r="N27" s="1" t="n">
        <f aca="false">(N5+E5)/B5</f>
        <v>95.2613605442177</v>
      </c>
      <c r="O27" s="1" t="n">
        <f aca="false">(O5+E5)/B5</f>
        <v>73.2531972789116</v>
      </c>
      <c r="P27" s="1" t="n">
        <f aca="false">(P5+E5)/B5</f>
        <v>57.094693877551</v>
      </c>
      <c r="Q27" s="1" t="n">
        <f aca="false">(Q5+E5)/B5</f>
        <v>47.4797278911565</v>
      </c>
      <c r="R27" s="1" t="n">
        <f aca="false">(R5+E5)/B5</f>
        <v>35.5763265306122</v>
      </c>
    </row>
    <row r="28" customFormat="false" ht="12.8" hidden="false" customHeight="false" outlineLevel="0" collapsed="false">
      <c r="A28" s="1" t="s">
        <v>53</v>
      </c>
      <c r="B28" s="1" t="n">
        <f aca="false">B6/B6</f>
        <v>1</v>
      </c>
      <c r="C28" s="0"/>
      <c r="D28" s="1" t="n">
        <f aca="false">D6/B6</f>
        <v>17.4815646258503</v>
      </c>
      <c r="E28" s="1" t="n">
        <f aca="false">E6/B6</f>
        <v>17.8902721088435</v>
      </c>
      <c r="F28" s="1" t="n">
        <f aca="false">(F6+E6)/B6</f>
        <v>309.279387755102</v>
      </c>
      <c r="G28" s="1" t="n">
        <f aca="false">(G6+E6)/B6</f>
        <v>286.531088435374</v>
      </c>
      <c r="H28" s="1" t="n">
        <f aca="false">(H6+E6)/B6</f>
        <v>245.496394557823</v>
      </c>
      <c r="I28" s="1" t="n">
        <f aca="false">(I6+E6)/B6</f>
        <v>242.194353741497</v>
      </c>
      <c r="J28" s="1" t="n">
        <f aca="false">(J6+E6)/B6</f>
        <v>204.355578231293</v>
      </c>
      <c r="K28" s="1" t="n">
        <f aca="false">(K6+E6)/B6</f>
        <v>197.448095238095</v>
      </c>
      <c r="L28" s="1" t="n">
        <f aca="false">(L6+E6)/B6</f>
        <v>154.003197278912</v>
      </c>
      <c r="M28" s="1" t="n">
        <f aca="false">(M6+E6)/B6</f>
        <v>109.458979591837</v>
      </c>
      <c r="N28" s="1" t="n">
        <f aca="false">(N6+E6)/B6</f>
        <v>76.9195238095238</v>
      </c>
      <c r="O28" s="1" t="n">
        <f aca="false">(O6+E6)/B6</f>
        <v>62.3555782312925</v>
      </c>
      <c r="P28" s="1" t="n">
        <f aca="false">(P6+E6)/B6</f>
        <v>55.2208843537415</v>
      </c>
      <c r="Q28" s="1" t="n">
        <f aca="false">(Q6+E6)/B6</f>
        <v>41.3596598639456</v>
      </c>
      <c r="R28" s="1" t="n">
        <f aca="false">(R6+E6)/B6</f>
        <v>37.3140816326531</v>
      </c>
    </row>
    <row r="29" customFormat="false" ht="12.8" hidden="false" customHeight="false" outlineLevel="0" collapsed="false">
      <c r="A29" s="1" t="s">
        <v>113</v>
      </c>
      <c r="B29" s="1" t="n">
        <f aca="false">B7/B7</f>
        <v>1</v>
      </c>
      <c r="C29" s="0"/>
      <c r="D29" s="1" t="n">
        <f aca="false">D7/B7</f>
        <v>31.2022448979592</v>
      </c>
      <c r="E29" s="1" t="n">
        <f aca="false">E7/B7</f>
        <v>30.6361904761905</v>
      </c>
      <c r="F29" s="1" t="n">
        <f aca="false">(F7+E7)/B7</f>
        <v>343.821904761905</v>
      </c>
      <c r="G29" s="1" t="n">
        <f aca="false">(G7+E7)/B7</f>
        <v>317.560680272109</v>
      </c>
      <c r="H29" s="1" t="n">
        <f aca="false">(H7+E7)/B7</f>
        <v>263.958639455782</v>
      </c>
      <c r="I29" s="1" t="n">
        <f aca="false">(I7+E7)/B7</f>
        <v>256.646394557823</v>
      </c>
      <c r="J29" s="1" t="n">
        <f aca="false">(J7+E7)/B7</f>
        <v>224.493333333333</v>
      </c>
      <c r="K29" s="1" t="n">
        <f aca="false">(K7+E7)/B7</f>
        <v>208.786530612245</v>
      </c>
      <c r="L29" s="1" t="n">
        <f aca="false">(L7+E7)/B7</f>
        <v>169.081088435374</v>
      </c>
      <c r="M29" s="1" t="n">
        <f aca="false">(M7+E7)/B7</f>
        <v>114.886530612245</v>
      </c>
      <c r="N29" s="1" t="n">
        <f aca="false">(N7+E7)/B7</f>
        <v>86.4565986394558</v>
      </c>
      <c r="O29" s="1" t="n">
        <f aca="false">(O7+E7)/B7</f>
        <v>72.3062585034014</v>
      </c>
      <c r="P29" s="1" t="n">
        <f aca="false">(P7+E7)/B7</f>
        <v>65.0137414965986</v>
      </c>
      <c r="Q29" s="1" t="n">
        <f aca="false">(Q7+E7)/B7</f>
        <v>53.3708843537415</v>
      </c>
      <c r="R29" s="1" t="n">
        <f aca="false">(R7+E7)/B7</f>
        <v>52.9484353741497</v>
      </c>
    </row>
    <row r="30" customFormat="false" ht="12.8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</row>
    <row r="31" customFormat="false" ht="12.8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</row>
    <row r="32" customFormat="false" ht="12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</row>
    <row r="33" customFormat="false" ht="12.8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</row>
    <row r="34" customFormat="false" ht="12.8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</row>
    <row r="35" customFormat="false" ht="12.8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</row>
    <row r="36" customFormat="false" ht="12.8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</row>
    <row r="37" customFormat="false" ht="12.8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</row>
    <row r="38" customFormat="false" ht="12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</row>
    <row r="39" customFormat="false" ht="12.8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</row>
    <row r="40" customFormat="false" ht="12.8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</row>
    <row r="41" customFormat="false" ht="12.8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</row>
    <row r="42" customFormat="false" ht="12.8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</row>
    <row r="43" customFormat="false" ht="12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</row>
    <row r="44" customFormat="false" ht="12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</row>
    <row r="45" customFormat="false" ht="12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</row>
    <row r="46" customFormat="false" ht="12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</row>
    <row r="47" customFormat="false" ht="12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</row>
    <row r="48" customFormat="false" ht="12.8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</row>
    <row r="49" customFormat="false" ht="12.8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</row>
    <row r="50" customFormat="false" ht="12.8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</row>
    <row r="51" customFormat="false" ht="12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</row>
    <row r="52" customFormat="false" ht="12.8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</row>
    <row r="53" customFormat="false" ht="12.8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</row>
    <row r="54" customFormat="false" ht="12.8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</row>
    <row r="55" customFormat="false" ht="12.8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</row>
    <row r="56" customFormat="false" ht="12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</row>
    <row r="57" customFormat="false" ht="12.8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</row>
    <row r="58" customFormat="false" ht="12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</row>
    <row r="59" customFormat="false" ht="12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</row>
    <row r="60" customFormat="false" ht="12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</row>
    <row r="61" customFormat="false" ht="12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</row>
    <row r="62" customFormat="false" ht="12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</row>
    <row r="63" customFormat="false" ht="12.8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</row>
    <row r="64" customFormat="false" ht="12.8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</row>
    <row r="65" customFormat="false" ht="12.8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</row>
    <row r="66" customFormat="false" ht="12.8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</row>
    <row r="67" customFormat="false" ht="12.8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</row>
    <row r="68" customFormat="false" ht="12.8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</row>
    <row r="69" customFormat="false" ht="12.8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</row>
    <row r="70" customFormat="false" ht="12.8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</row>
    <row r="71" customFormat="false" ht="12.8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</row>
    <row r="72" customFormat="false" ht="12.8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</row>
    <row r="73" customFormat="false" ht="12.8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</row>
    <row r="74" customFormat="false" ht="12.8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</row>
    <row r="75" customFormat="false" ht="12.8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</row>
    <row r="76" customFormat="false" ht="12.8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</row>
    <row r="77" customFormat="false" ht="12.8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</row>
    <row r="78" customFormat="false" ht="12.8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</row>
    <row r="79" customFormat="false" ht="12.8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</row>
    <row r="80" customFormat="false" ht="12.8" hidden="false" customHeight="false" outlineLevel="0" collapsed="false">
      <c r="A80" s="1" t="s">
        <v>68</v>
      </c>
      <c r="B80" s="3" t="s">
        <v>69</v>
      </c>
      <c r="C80" s="3"/>
      <c r="D80" s="3" t="s">
        <v>55</v>
      </c>
      <c r="E80" s="3" t="s">
        <v>56</v>
      </c>
      <c r="F80" s="3" t="s">
        <v>114</v>
      </c>
      <c r="G80" s="3" t="s">
        <v>115</v>
      </c>
      <c r="H80" s="3" t="s">
        <v>116</v>
      </c>
      <c r="I80" s="3" t="s">
        <v>117</v>
      </c>
      <c r="J80" s="3" t="s">
        <v>118</v>
      </c>
      <c r="K80" s="3" t="s">
        <v>119</v>
      </c>
      <c r="L80" s="3" t="s">
        <v>120</v>
      </c>
      <c r="M80" s="3" t="s">
        <v>121</v>
      </c>
      <c r="N80" s="3" t="s">
        <v>122</v>
      </c>
      <c r="O80" s="3" t="s">
        <v>123</v>
      </c>
      <c r="P80" s="3" t="s">
        <v>71</v>
      </c>
      <c r="Q80" s="3" t="s">
        <v>72</v>
      </c>
      <c r="R80" s="3" t="s">
        <v>73</v>
      </c>
    </row>
    <row r="81" customFormat="false" ht="12.8" hidden="false" customHeight="false" outlineLevel="0" collapsed="false">
      <c r="A81" s="1" t="s">
        <v>78</v>
      </c>
    </row>
    <row r="82" customFormat="false" ht="12.8" hidden="false" customHeight="false" outlineLevel="0" collapsed="false">
      <c r="A82" s="1" t="s">
        <v>79</v>
      </c>
    </row>
    <row r="83" customFormat="false" ht="12.8" hidden="false" customHeight="false" outlineLevel="0" collapsed="false">
      <c r="A83" s="1" t="s">
        <v>80</v>
      </c>
    </row>
    <row r="84" customFormat="false" ht="12.8" hidden="false" customHeight="false" outlineLevel="0" collapsed="false">
      <c r="A84" s="1" t="s">
        <v>81</v>
      </c>
    </row>
    <row r="85" customFormat="false" ht="12.8" hidden="false" customHeight="false" outlineLevel="0" collapsed="false">
      <c r="A85" s="1" t="s">
        <v>82</v>
      </c>
    </row>
    <row r="86" customFormat="false" ht="12.8" hidden="false" customHeight="false" outlineLevel="0" collapsed="false">
      <c r="A86" s="0"/>
    </row>
    <row r="87" customFormat="false" ht="12.8" hidden="false" customHeight="false" outlineLevel="0" collapsed="false">
      <c r="A87" s="1" t="s">
        <v>83</v>
      </c>
    </row>
    <row r="88" customFormat="false" ht="12.8" hidden="false" customHeight="false" outlineLevel="0" collapsed="false">
      <c r="A88" s="1" t="s">
        <v>84</v>
      </c>
    </row>
    <row r="89" customFormat="false" ht="12.8" hidden="false" customHeight="false" outlineLevel="0" collapsed="false">
      <c r="A89" s="1" t="s">
        <v>85</v>
      </c>
    </row>
    <row r="90" customFormat="false" ht="12.8" hidden="false" customHeight="false" outlineLevel="0" collapsed="false">
      <c r="A90" s="1" t="s">
        <v>86</v>
      </c>
    </row>
    <row r="91" customFormat="false" ht="12.8" hidden="false" customHeight="false" outlineLevel="0" collapsed="false">
      <c r="A91" s="0"/>
    </row>
    <row r="92" customFormat="false" ht="12.8" hidden="false" customHeight="false" outlineLevel="0" collapsed="false">
      <c r="A92" s="0"/>
    </row>
    <row r="93" customFormat="false" ht="12.8" hidden="false" customHeight="false" outlineLevel="0" collapsed="false">
      <c r="A93" s="0"/>
    </row>
    <row r="94" customFormat="false" ht="12.8" hidden="false" customHeight="false" outlineLevel="0" collapsed="false">
      <c r="A94" s="1" t="s">
        <v>124</v>
      </c>
    </row>
    <row r="95" customFormat="false" ht="12.8" hidden="false" customHeight="false" outlineLevel="0" collapsed="false">
      <c r="A95" s="1" t="s">
        <v>125</v>
      </c>
    </row>
    <row r="96" customFormat="false" ht="12.8" hidden="false" customHeight="false" outlineLevel="0" collapsed="false">
      <c r="A96" s="1" t="s">
        <v>90</v>
      </c>
    </row>
    <row r="97" customFormat="false" ht="12.8" hidden="false" customHeight="false" outlineLevel="0" collapsed="false">
      <c r="A97" s="1" t="s">
        <v>93</v>
      </c>
    </row>
    <row r="98" customFormat="false" ht="12.8" hidden="false" customHeight="false" outlineLevel="0" collapsed="false">
      <c r="A98" s="0"/>
    </row>
    <row r="99" customFormat="false" ht="12.8" hidden="false" customHeight="false" outlineLevel="0" collapsed="false">
      <c r="A99" s="0"/>
    </row>
    <row r="100" customFormat="false" ht="12.8" hidden="false" customHeight="false" outlineLevel="0" collapsed="false">
      <c r="A100" s="1" t="n">
        <v>16</v>
      </c>
    </row>
    <row r="101" customFormat="false" ht="12.8" hidden="false" customHeight="false" outlineLevel="0" collapsed="false">
      <c r="A101" s="1" t="n">
        <v>32</v>
      </c>
    </row>
    <row r="102" customFormat="false" ht="12.8" hidden="false" customHeight="false" outlineLevel="0" collapsed="false">
      <c r="A102" s="1" t="n">
        <v>48</v>
      </c>
    </row>
    <row r="103" customFormat="false" ht="12.8" hidden="false" customHeight="false" outlineLevel="0" collapsed="false">
      <c r="A103" s="1" t="n">
        <v>64</v>
      </c>
    </row>
    <row r="104" customFormat="false" ht="12.8" hidden="false" customHeight="false" outlineLevel="0" collapsed="false">
      <c r="A104" s="1" t="n">
        <v>80</v>
      </c>
    </row>
    <row r="105" customFormat="false" ht="12.8" hidden="false" customHeight="false" outlineLevel="0" collapsed="false">
      <c r="A105" s="0"/>
    </row>
    <row r="106" customFormat="false" ht="12.8" hidden="false" customHeight="false" outlineLevel="0" collapsed="false">
      <c r="A106" s="0"/>
    </row>
    <row r="107" customFormat="false" ht="12.8" hidden="false" customHeight="false" outlineLevel="0" collapsed="false">
      <c r="A107" s="1" t="s">
        <v>95</v>
      </c>
    </row>
    <row r="108" customFormat="false" ht="12.8" hidden="false" customHeight="false" outlineLevel="0" collapsed="false">
      <c r="A108" s="1" t="s">
        <v>96</v>
      </c>
    </row>
    <row r="109" customFormat="false" ht="12.8" hidden="false" customHeight="false" outlineLevel="0" collapsed="false">
      <c r="A109" s="1" t="s">
        <v>97</v>
      </c>
    </row>
    <row r="110" customFormat="false" ht="12.8" hidden="false" customHeight="false" outlineLevel="0" collapsed="false">
      <c r="A110" s="1" t="s">
        <v>98</v>
      </c>
    </row>
    <row r="111" customFormat="false" ht="12.8" hidden="false" customHeight="false" outlineLevel="0" collapsed="false">
      <c r="A111" s="1" t="s">
        <v>99</v>
      </c>
    </row>
    <row r="112" customFormat="false" ht="12.8" hidden="false" customHeight="false" outlineLevel="0" collapsed="false">
      <c r="A112" s="0"/>
    </row>
    <row r="113" customFormat="false" ht="12.8" hidden="false" customHeight="false" outlineLevel="0" collapsed="false">
      <c r="A113" s="1" t="s">
        <v>100</v>
      </c>
    </row>
    <row r="114" customFormat="false" ht="12.8" hidden="false" customHeight="false" outlineLevel="0" collapsed="false">
      <c r="A114" s="1" t="s">
        <v>101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&amp;CΣελίδα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2018-05-07T15:19:46Z</dcterms:created>
  <dc:creator/>
  <dc:description/>
  <dc:language>el-GR</dc:language>
  <cp:lastModifiedBy/>
  <dcterms:modified xsi:type="dcterms:W3CDTF">2018-05-09T09:12:24Z</dcterms:modified>
  <cp:revision>30</cp:revision>
  <dc:subject/>
  <dc:title/>
</cp:coreProperties>
</file>